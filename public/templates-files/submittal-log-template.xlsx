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ttal Log" state="visible" r:id="rId4"/>
    <sheet sheetId="2" name="Transmittal" state="visible" r:id="rId5"/>
    <sheet sheetId="3" name="How to Use" state="visible" r:id="rId6"/>
  </sheets>
  <definedNames>
    <definedName name="_xlnm.Print_Area" localSheetId="0">'Submittal Log'!$A1:$N55</definedName>
    <definedName name="_xlnm.Print_Titles" localSheetId="0">'Submittal Log'!$10:$10</definedName>
    <definedName name="_xlnm.Print_Area" localSheetId="1">'Transmittal'!$A1:$F44</definedName>
  </definedNames>
  <calcPr calcId="171027" fullCalcOnLoad="1"/>
</workbook>
</file>

<file path=xl/sharedStrings.xml><?xml version="1.0" encoding="utf-8"?>
<sst xmlns="http://schemas.openxmlformats.org/spreadsheetml/2006/main" count="97" uniqueCount="84">
  <si>
    <t>Submittal Log</t>
  </si>
  <si>
    <t>Print: landscape, one page wide</t>
  </si>
  <si>
    <t>One row per submittal, a new row for each revision. Status from the dropdown drives the counts; need-on-site and lead time drive the submit-by date.</t>
  </si>
  <si>
    <t>Amber cells are yours to fill in. Everything else calculates.</t>
  </si>
  <si>
    <t>Project</t>
  </si>
  <si>
    <t>Status date (blank = today)</t>
  </si>
  <si>
    <t>Not submitted</t>
  </si>
  <si>
    <t>Revise / rejected</t>
  </si>
  <si>
    <t>Spec / contract ref.</t>
  </si>
  <si>
    <t>Review period (days)</t>
  </si>
  <si>
    <t>Submitted (in review)</t>
  </si>
  <si>
    <t>Overdue with reviewer</t>
  </si>
  <si>
    <t>Prepared by</t>
  </si>
  <si>
    <t>Reviewer</t>
  </si>
  <si>
    <t>Approved + as noted</t>
  </si>
  <si>
    <t>Late to submit</t>
  </si>
  <si>
    <t>#</t>
  </si>
  <si>
    <t>SPEC SECTION</t>
  </si>
  <si>
    <t>DESCRIPTION</t>
  </si>
  <si>
    <t>TYPE</t>
  </si>
  <si>
    <t>REV</t>
  </si>
  <si>
    <t>DATE SUBMITTED</t>
  </si>
  <si>
    <t>DATE RETURNED</t>
  </si>
  <si>
    <t>DAYS IN REVIEW</t>
  </si>
  <si>
    <t>STATUS</t>
  </si>
  <si>
    <t>REVIEWER</t>
  </si>
  <si>
    <t>NEED ON SITE</t>
  </si>
  <si>
    <t>LEAD TIME (DAYS)</t>
  </si>
  <si>
    <t>SUBMIT BY</t>
  </si>
  <si>
    <t>NOTES / ACTION REQUIRED</t>
  </si>
  <si>
    <t/>
  </si>
  <si>
    <t>Totals</t>
  </si>
  <si>
    <t>avg days in review</t>
  </si>
  <si>
    <t>Submit by = need-on-site date − lead time − review period. Days in review counts to the returned date, or to the status date (today if blank) while the submittal is with the reviewer. Red = overdue with the reviewer, or a submit-by date that has passed without a submission.</t>
  </si>
  <si>
    <t>Free template by BuildWorkPro — buildworkpro.com/templates. Follow your Division 01 submittal procedures for numbering, review periods and resubmittals. General-purpose template, not a contract document.</t>
  </si>
  <si>
    <t>Submittal Transmittal</t>
  </si>
  <si>
    <t>Print: portrait, one page</t>
  </si>
  <si>
    <t>Cover sheet for one submittal package. Fill it in, print it (fits one page) or save as PDF, and log the submittal on the Submittal Log sheet.</t>
  </si>
  <si>
    <t>TO</t>
  </si>
  <si>
    <t>TRANSMITTAL</t>
  </si>
  <si>
    <t>Company</t>
  </si>
  <si>
    <t>Transmittal no.</t>
  </si>
  <si>
    <t>Attention</t>
  </si>
  <si>
    <t>Date sent</t>
  </si>
  <si>
    <t>Project number</t>
  </si>
  <si>
    <t>Return requested by</t>
  </si>
  <si>
    <t>SUBMITTAL</t>
  </si>
  <si>
    <t>Submittal no. / rev</t>
  </si>
  <si>
    <t>Sent via</t>
  </si>
  <si>
    <t>Specification section</t>
  </si>
  <si>
    <t>Action requested</t>
  </si>
  <si>
    <t>COPIES</t>
  </si>
  <si>
    <t>DESCRIPTION OF ITEM</t>
  </si>
  <si>
    <t>CONTRACTOR REVIEW</t>
  </si>
  <si>
    <t>☐  Reviewed for conformance with the contract documents     ☐  Field dimensions verified / coordinated     ☐  Deviations listed in remarks</t>
  </si>
  <si>
    <t>REMARKS — WHY IT MATTERS TO THE SCHEDULE, DEVIATIONS, WHAT YOU NEED BACK AND WHEN</t>
  </si>
  <si>
    <t>SUBMITTED BY</t>
  </si>
  <si>
    <t>RECEIVED BY</t>
  </si>
  <si>
    <t>SIGNATURE</t>
  </si>
  <si>
    <t>PRINTED NAME / TITLE</t>
  </si>
  <si>
    <t>DATE</t>
  </si>
  <si>
    <t>Free template by BuildWorkPro — buildworkpro.com/templates. A reviewer’s approval does not relieve the contractor of responsibility for dimensions, quantities, coordination or compliance with the contract documents unless a deviation was specifically accepted in writing.</t>
  </si>
  <si>
    <t>How to use the Submittal Log Template</t>
  </si>
  <si>
    <t>1.</t>
  </si>
  <si>
    <t>Enter the project, the reviewer and the review period your Division 01 specification allows (14 days is common; some contracts say 10 or 21). Set a status date if you are reporting as of a specific day.</t>
  </si>
  <si>
    <t>2.</t>
  </si>
  <si>
    <t>Log every submittal the spec requires — one row each, numbered by spec section (23 74 13-01, 23 74 13-02 …). Pick the type from the dropdown and add a new row for each revision rather than overwriting.</t>
  </si>
  <si>
    <t>3.</t>
  </si>
  <si>
    <t>Enter the date each item is needed on site and its lead time in days. Submit by calculates backwards: need-on-site − lead time − review period. That is the date you must send it to protect the schedule.</t>
  </si>
  <si>
    <t>4.</t>
  </si>
  <si>
    <t>Record the submitted and returned dates and set the status from the dropdown as it moves: Not Submitted → Submitted → Approved, Approved as Noted, Revise and Resubmit or Rejected. Days in review and the counts update live.</t>
  </si>
  <si>
    <t>5.</t>
  </si>
  <si>
    <t>Watch the red cells: a red days-in-review means the reviewer is past the review period (send a reminder, citing the spec); a red submit-by date means you are late to submit and fabrication is at risk.</t>
  </si>
  <si>
    <t>6.</t>
  </si>
  <si>
    <t>Use the Transmittal sheet as the cover for each package: it fills the return-by date from the review period, and the received-by signature proves when the reviewer got it.</t>
  </si>
  <si>
    <t>TIPS FROM THE FIELD</t>
  </si>
  <si>
    <t>•</t>
  </si>
  <si>
    <t>Work backwards from the install date, not forward from today. Six-week lead items with a two-week review need eight weeks — plus a resubmittal cycle if the first one comes back marked up.</t>
  </si>
  <si>
    <t>"Approved as Noted" means build to the markups. Read every note and log a resubmittal if a note changes cost or scope — then write the RFI or change order it triggers.</t>
  </si>
  <si>
    <t>One product per row. Three items on one line is how "approved as noted" becomes an argument about which note applied to which item.</t>
  </si>
  <si>
    <t>Keep the returned copy with the transmittal. The reviewer stamp and date are what you produce when a delay claim asks who held the schedule.</t>
  </si>
  <si>
    <t>In BuildWorkPro, project documents, tasks and closeout live on the same project as your RFIs, change orders and pay applications — so shop drawings and product data are attached to the job, not a side spreadsheet.</t>
  </si>
  <si>
    <t>https://buildworkpro.com/features/project-management/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</si>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</sst>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, yyyy"/>
  </numFmts>
  <fonts count="18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color rgb="FF4A5260"/>
      <sz val="9"/>
      <name val="Calibri"/>
    </font>
    <font>
      <b/>
      <color rgb="FF1B1F24"/>
      <sz val="10"/>
      <name val="Calibri"/>
    </font>
    <font>
      <b/>
      <color rgb="FFB3261E"/>
      <sz val="10"/>
      <name val="Calibri"/>
    </font>
    <font>
      <b/>
      <color rgb="FF4A5260"/>
      <sz val="7.5"/>
      <name val="Calibri"/>
    </font>
    <font>
      <color rgb="FF8B93A1"/>
      <sz val="10"/>
      <name val="Calibri"/>
    </font>
    <font>
      <i/>
      <color rgb="FF8B93A1"/>
      <sz val="8"/>
      <name val="Calibri"/>
    </font>
    <font>
      <color rgb="FF8B93A1"/>
      <sz val="8"/>
      <name val="Calibri"/>
    </font>
    <font>
      <b/>
      <color rgb="FF8B93A1"/>
      <sz val="7.5"/>
      <name val="Calibri"/>
    </font>
    <font>
      <b/>
      <color rgb="FF4A5260"/>
      <sz val="8"/>
      <name val="Calibri"/>
    </font>
    <font>
      <color rgb="FF8B93A1"/>
      <sz val="7"/>
      <name val="Calibri"/>
    </font>
    <font>
      <b/>
      <color rgb="FF4A5260"/>
      <sz val="10"/>
      <name val="Calibri"/>
    </font>
    <font>
      <u/>
      <color rgb="FF2563E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3F5F8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 style="medium">
        <color rgb="FF2563EB"/>
      </left>
      <right/>
      <top/>
      <bottom/>
      <diagonal/>
    </border>
    <border>
      <left/>
      <right/>
      <top/>
      <bottom style="thin">
        <color rgb="FF1B1F2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" fontId="4" fillId="2" borderId="2" xfId="0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0" fontId="9" fillId="3" borderId="3" xfId="0" applyFont="1" applyFill="1" applyBorder="1" applyAlignment="1">
      <alignment horizontal="center" vertical="bottom" wrapText="1"/>
    </xf>
    <xf numFmtId="0" fontId="9" fillId="3" borderId="3" xfId="0" applyFont="1" applyFill="1" applyBorder="1" applyAlignment="1">
      <alignment horizontal="left" vertical="bottom" wrapText="1"/>
    </xf>
    <xf numFmtId="0" fontId="9" fillId="3" borderId="3" xfId="0" applyFont="1" applyFill="1" applyBorder="1" applyAlignment="1">
      <alignment horizontal="right" vertical="bottom" wrapText="1"/>
    </xf>
    <xf numFmtId="0" fontId="10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1" fontId="4" fillId="2" borderId="4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right" vertical="center"/>
    </xf>
    <xf numFmtId="1" fontId="4" fillId="2" borderId="4" xfId="0" applyNumberFormat="1" applyFont="1" applyFill="1" applyBorder="1" applyAlignment="1">
      <alignment horizontal="right" vertical="center"/>
    </xf>
    <xf numFmtId="164" fontId="4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right" vertical="center"/>
    </xf>
    <xf numFmtId="0" fontId="11" fillId="0" borderId="5" xfId="0" applyFont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 indent="1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6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top" wrapText="1"/>
    </xf>
    <xf numFmtId="0" fontId="14" fillId="0" borderId="0" xfId="0" applyFont="1"/>
    <xf numFmtId="0" fontId="4" fillId="0" borderId="7" xfId="0" applyFont="1" applyBorder="1"/>
    <xf numFmtId="0" fontId="15" fillId="0" borderId="0" xfId="0" applyFont="1"/>
    <xf numFmtId="0" fontId="1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17" fillId="0" borderId="0" xfId="0" applyFont="1"/>
  </cellXfs>
  <cellStyles count="1">
    <cellStyle name="Normal" xfId="0" builtinId="0"/>
  </cellStyles>
  <dxfs count="8">
    <dxf>
      <fill>
        <patternFill patternType="solid">
          <bgColor rgb="FFE6F4EA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DE8E6"/>
        </patternFill>
      </fill>
    </dxf>
    <dxf>
      <fill>
        <patternFill patternType="solid">
          <bgColor rgb="FFFDE8E6"/>
        </patternFill>
      </fill>
    </dxf>
    <dxf>
      <fill>
        <patternFill patternType="solid">
          <bgColor rgb="FFE3ECFF"/>
        </patternFill>
      </fill>
    </dxf>
    <dxf>
      <fill>
        <patternFill patternType="solid">
          <bgColor rgb="FFFFF7E6"/>
        </patternFill>
      </fill>
    </dxf>
    <dxf>
      <font>
        <b/>
        <color rgb="FFB3261E"/>
      </font>
      <fill>
        <patternFill patternType="solid">
          <bgColor rgb="FFFDE8E6"/>
        </patternFill>
      </fill>
    </dxf>
    <dxf>
      <font>
        <b/>
        <color rgb="FFB3261E"/>
      </font>
      <fill>
        <patternFill patternType="solid">
          <bgColor rgb="FFFD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project-management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workbookViewId="0" showGridLines="0">
      <pane xSplit="3" ySplit="10" topLeftCell="D11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42" customWidth="1"/>
    <col min="4" max="4" width="15" customWidth="1"/>
    <col min="5" max="5" width="5" customWidth="1"/>
    <col min="6" max="7" width="12" customWidth="1"/>
    <col min="9" max="9" width="19" customWidth="1"/>
    <col min="10" max="10" width="17" customWidth="1"/>
    <col min="11" max="11" width="12" customWidth="1"/>
    <col min="12" max="12" width="8" customWidth="1"/>
    <col min="13" max="13" width="12" customWidth="1"/>
    <col min="14" max="14" width="26" customWidth="1"/>
  </cols>
  <sheetData>
    <row r="1" ht="30" customHeight="1" spans="1:14" x14ac:dyDescent="0.25">
      <c r="A1" s="1" t="s">
        <v>0</v>
      </c>
      <c r="L1" s="2" t="s">
        <v>1</v>
      </c>
      <c r="M1" s="2"/>
      <c r="N1" s="2"/>
    </row>
    <row r="2" spans="1:1" x14ac:dyDescent="0.25">
      <c r="A2" s="3" t="s">
        <v>2</v>
      </c>
    </row>
    <row r="3" ht="6" customHeight="1" spans="1:1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" x14ac:dyDescent="0.25">
      <c r="A4" s="5"/>
      <c r="B4" s="6" t="s">
        <v>3</v>
      </c>
    </row>
    <row r="6" spans="1:13" x14ac:dyDescent="0.25">
      <c r="A6" s="7" t="s">
        <v>4</v>
      </c>
      <c r="B6" s="7"/>
      <c r="C6" s="8"/>
      <c r="D6" s="7" t="s">
        <v>5</v>
      </c>
      <c r="E6" s="7"/>
      <c r="F6" s="9"/>
      <c r="G6" s="9"/>
      <c r="I6" s="7" t="s">
        <v>6</v>
      </c>
      <c r="J6" s="10">
        <f>COUNTIF(I11:I50,"Not Submitted")</f>
      </c>
      <c r="K6" s="7" t="s">
        <v>7</v>
      </c>
      <c r="L6" s="7"/>
      <c r="M6" s="11">
        <f>COUNTIF(I11:I50,"Revise and Resubmit")+COUNTIF(I11:I50,"Rejected")</f>
      </c>
    </row>
    <row r="7" spans="1:13" x14ac:dyDescent="0.25">
      <c r="A7" s="7" t="s">
        <v>8</v>
      </c>
      <c r="B7" s="7"/>
      <c r="C7" s="8"/>
      <c r="D7" s="7" t="s">
        <v>9</v>
      </c>
      <c r="E7" s="7"/>
      <c r="F7" s="12">
        <v>14</v>
      </c>
      <c r="G7" s="12"/>
      <c r="I7" s="7" t="s">
        <v>10</v>
      </c>
      <c r="J7" s="10">
        <f>COUNTIF(I11:I50,"Submitted")</f>
      </c>
      <c r="K7" s="7" t="s">
        <v>11</v>
      </c>
      <c r="L7" s="7"/>
      <c r="M7" s="13">
        <f>COUNTIFS(I11:I50,"Submitted",H11:H50,"&gt;"&amp;$F$7)</f>
      </c>
    </row>
    <row r="8" spans="1:13" x14ac:dyDescent="0.25">
      <c r="A8" s="7" t="s">
        <v>12</v>
      </c>
      <c r="B8" s="7"/>
      <c r="C8" s="8"/>
      <c r="D8" s="7" t="s">
        <v>13</v>
      </c>
      <c r="E8" s="7"/>
      <c r="F8" s="8"/>
      <c r="G8" s="8"/>
      <c r="I8" s="7" t="s">
        <v>14</v>
      </c>
      <c r="J8" s="10">
        <f>COUNTIF(I11:I50,"Approved")+COUNTIF(I11:I50,"Approved as Noted")</f>
      </c>
      <c r="K8" s="7" t="s">
        <v>15</v>
      </c>
      <c r="L8" s="7"/>
      <c r="M8" s="13">
        <f>COUNTIFS(I11:I50,"Not Submitted",M11:M50,"&lt;"&amp;IF($F$6&lt;&gt;"",$F$6,TODAY()))</f>
      </c>
    </row>
    <row r="10" ht="22" customHeight="1" spans="1:14" x14ac:dyDescent="0.25">
      <c r="A10" s="14" t="s">
        <v>16</v>
      </c>
      <c r="B10" s="15" t="s">
        <v>17</v>
      </c>
      <c r="C10" s="15" t="s">
        <v>18</v>
      </c>
      <c r="D10" s="15" t="s">
        <v>19</v>
      </c>
      <c r="E10" s="14" t="s">
        <v>20</v>
      </c>
      <c r="F10" s="14" t="s">
        <v>21</v>
      </c>
      <c r="G10" s="14" t="s">
        <v>22</v>
      </c>
      <c r="H10" s="16" t="s">
        <v>23</v>
      </c>
      <c r="I10" s="15" t="s">
        <v>24</v>
      </c>
      <c r="J10" s="15" t="s">
        <v>25</v>
      </c>
      <c r="K10" s="14" t="s">
        <v>26</v>
      </c>
      <c r="L10" s="16" t="s">
        <v>27</v>
      </c>
      <c r="M10" s="14" t="s">
        <v>28</v>
      </c>
      <c r="N10" s="15" t="s">
        <v>29</v>
      </c>
    </row>
    <row r="11" ht="18" customHeight="1" spans="1:14" x14ac:dyDescent="0.25">
      <c r="A11" s="17">
        <v>1</v>
      </c>
      <c r="B11" s="18"/>
      <c r="C11" s="19"/>
      <c r="D11" s="18"/>
      <c r="E11" s="20"/>
      <c r="F11" s="21"/>
      <c r="G11" s="21"/>
      <c r="H11" s="22">
        <f>IF(F11="","",IF(G11&lt;&gt;"",G11,IF($F$6&lt;&gt;"",$F$6,TODAY()))-F11)</f>
      </c>
      <c r="I11" s="18"/>
      <c r="J11" s="18"/>
      <c r="K11" s="21"/>
      <c r="L11" s="23"/>
      <c r="M11" s="24">
        <f>IF(K11="","",K11-IF(L11="",0,L11)-$F$7)</f>
      </c>
      <c r="N11" s="19"/>
    </row>
    <row r="12" ht="18" customHeight="1" spans="1:14" x14ac:dyDescent="0.25">
      <c r="A12" s="17">
        <v>2</v>
      </c>
      <c r="B12" s="18"/>
      <c r="C12" s="19"/>
      <c r="D12" s="18"/>
      <c r="E12" s="20"/>
      <c r="F12" s="21"/>
      <c r="G12" s="21"/>
      <c r="H12" s="22">
        <f>IF(F12="","",IF(G12&lt;&gt;"",G12,IF($F$6&lt;&gt;"",$F$6,TODAY()))-F12)</f>
      </c>
      <c r="I12" s="18"/>
      <c r="J12" s="18"/>
      <c r="K12" s="21"/>
      <c r="L12" s="23"/>
      <c r="M12" s="24">
        <f>IF(K12="","",K12-IF(L12="",0,L12)-$F$7)</f>
      </c>
      <c r="N12" s="19"/>
    </row>
    <row r="13" ht="18" customHeight="1" spans="1:14" x14ac:dyDescent="0.25">
      <c r="A13" s="17">
        <v>3</v>
      </c>
      <c r="B13" s="18"/>
      <c r="C13" s="19"/>
      <c r="D13" s="18"/>
      <c r="E13" s="20"/>
      <c r="F13" s="21"/>
      <c r="G13" s="21"/>
      <c r="H13" s="22">
        <f>IF(F13="","",IF(G13&lt;&gt;"",G13,IF($F$6&lt;&gt;"",$F$6,TODAY()))-F13)</f>
      </c>
      <c r="I13" s="18"/>
      <c r="J13" s="18"/>
      <c r="K13" s="21"/>
      <c r="L13" s="23"/>
      <c r="M13" s="24">
        <f>IF(K13="","",K13-IF(L13="",0,L13)-$F$7)</f>
      </c>
      <c r="N13" s="19"/>
    </row>
    <row r="14" ht="18" customHeight="1" spans="1:14" x14ac:dyDescent="0.25">
      <c r="A14" s="17">
        <v>4</v>
      </c>
      <c r="B14" s="18"/>
      <c r="C14" s="19"/>
      <c r="D14" s="18"/>
      <c r="E14" s="20"/>
      <c r="F14" s="21"/>
      <c r="G14" s="21"/>
      <c r="H14" s="22">
        <f>IF(F14="","",IF(G14&lt;&gt;"",G14,IF($F$6&lt;&gt;"",$F$6,TODAY()))-F14)</f>
      </c>
      <c r="I14" s="18"/>
      <c r="J14" s="18"/>
      <c r="K14" s="21"/>
      <c r="L14" s="23"/>
      <c r="M14" s="24">
        <f>IF(K14="","",K14-IF(L14="",0,L14)-$F$7)</f>
      </c>
      <c r="N14" s="19"/>
    </row>
    <row r="15" ht="18" customHeight="1" spans="1:14" x14ac:dyDescent="0.25">
      <c r="A15" s="17">
        <v>5</v>
      </c>
      <c r="B15" s="18"/>
      <c r="C15" s="19"/>
      <c r="D15" s="18"/>
      <c r="E15" s="20"/>
      <c r="F15" s="21"/>
      <c r="G15" s="21"/>
      <c r="H15" s="22">
        <f>IF(F15="","",IF(G15&lt;&gt;"",G15,IF($F$6&lt;&gt;"",$F$6,TODAY()))-F15)</f>
      </c>
      <c r="I15" s="18"/>
      <c r="J15" s="18"/>
      <c r="K15" s="21"/>
      <c r="L15" s="23"/>
      <c r="M15" s="24">
        <f>IF(K15="","",K15-IF(L15="",0,L15)-$F$7)</f>
      </c>
      <c r="N15" s="19"/>
    </row>
    <row r="16" ht="18" customHeight="1" spans="1:14" x14ac:dyDescent="0.25">
      <c r="A16" s="17">
        <v>6</v>
      </c>
      <c r="B16" s="18"/>
      <c r="C16" s="19"/>
      <c r="D16" s="18"/>
      <c r="E16" s="20"/>
      <c r="F16" s="21"/>
      <c r="G16" s="21"/>
      <c r="H16" s="22">
        <f>IF(F16="","",IF(G16&lt;&gt;"",G16,IF($F$6&lt;&gt;"",$F$6,TODAY()))-F16)</f>
      </c>
      <c r="I16" s="18"/>
      <c r="J16" s="18"/>
      <c r="K16" s="21"/>
      <c r="L16" s="23"/>
      <c r="M16" s="24">
        <f>IF(K16="","",K16-IF(L16="",0,L16)-$F$7)</f>
      </c>
      <c r="N16" s="19"/>
    </row>
    <row r="17" ht="18" customHeight="1" spans="1:14" x14ac:dyDescent="0.25">
      <c r="A17" s="17">
        <v>7</v>
      </c>
      <c r="B17" s="18"/>
      <c r="C17" s="19"/>
      <c r="D17" s="18"/>
      <c r="E17" s="20"/>
      <c r="F17" s="21"/>
      <c r="G17" s="21"/>
      <c r="H17" s="22">
        <f>IF(F17="","",IF(G17&lt;&gt;"",G17,IF($F$6&lt;&gt;"",$F$6,TODAY()))-F17)</f>
      </c>
      <c r="I17" s="18"/>
      <c r="J17" s="18"/>
      <c r="K17" s="21"/>
      <c r="L17" s="23"/>
      <c r="M17" s="24">
        <f>IF(K17="","",K17-IF(L17="",0,L17)-$F$7)</f>
      </c>
      <c r="N17" s="19"/>
    </row>
    <row r="18" ht="18" customHeight="1" spans="1:14" x14ac:dyDescent="0.25">
      <c r="A18" s="17">
        <v>8</v>
      </c>
      <c r="B18" s="18"/>
      <c r="C18" s="19"/>
      <c r="D18" s="18"/>
      <c r="E18" s="20"/>
      <c r="F18" s="21"/>
      <c r="G18" s="21"/>
      <c r="H18" s="22">
        <f>IF(F18="","",IF(G18&lt;&gt;"",G18,IF($F$6&lt;&gt;"",$F$6,TODAY()))-F18)</f>
      </c>
      <c r="I18" s="18"/>
      <c r="J18" s="18"/>
      <c r="K18" s="21"/>
      <c r="L18" s="23"/>
      <c r="M18" s="24">
        <f>IF(K18="","",K18-IF(L18="",0,L18)-$F$7)</f>
      </c>
      <c r="N18" s="19"/>
    </row>
    <row r="19" ht="18" customHeight="1" spans="1:14" x14ac:dyDescent="0.25">
      <c r="A19" s="17">
        <v>9</v>
      </c>
      <c r="B19" s="18"/>
      <c r="C19" s="19"/>
      <c r="D19" s="18"/>
      <c r="E19" s="20"/>
      <c r="F19" s="21"/>
      <c r="G19" s="21"/>
      <c r="H19" s="22">
        <f>IF(F19="","",IF(G19&lt;&gt;"",G19,IF($F$6&lt;&gt;"",$F$6,TODAY()))-F19)</f>
      </c>
      <c r="I19" s="18"/>
      <c r="J19" s="18"/>
      <c r="K19" s="21"/>
      <c r="L19" s="23"/>
      <c r="M19" s="24">
        <f>IF(K19="","",K19-IF(L19="",0,L19)-$F$7)</f>
      </c>
      <c r="N19" s="19"/>
    </row>
    <row r="20" ht="18" customHeight="1" spans="1:14" x14ac:dyDescent="0.25">
      <c r="A20" s="17">
        <v>10</v>
      </c>
      <c r="B20" s="18"/>
      <c r="C20" s="19"/>
      <c r="D20" s="18"/>
      <c r="E20" s="20"/>
      <c r="F20" s="21"/>
      <c r="G20" s="21"/>
      <c r="H20" s="22">
        <f>IF(F20="","",IF(G20&lt;&gt;"",G20,IF($F$6&lt;&gt;"",$F$6,TODAY()))-F20)</f>
      </c>
      <c r="I20" s="18"/>
      <c r="J20" s="18"/>
      <c r="K20" s="21"/>
      <c r="L20" s="23"/>
      <c r="M20" s="24">
        <f>IF(K20="","",K20-IF(L20="",0,L20)-$F$7)</f>
      </c>
      <c r="N20" s="19"/>
    </row>
    <row r="21" ht="18" customHeight="1" spans="1:14" x14ac:dyDescent="0.25">
      <c r="A21" s="17">
        <v>11</v>
      </c>
      <c r="B21" s="18"/>
      <c r="C21" s="19"/>
      <c r="D21" s="18"/>
      <c r="E21" s="20"/>
      <c r="F21" s="21"/>
      <c r="G21" s="21"/>
      <c r="H21" s="22">
        <f>IF(F21="","",IF(G21&lt;&gt;"",G21,IF($F$6&lt;&gt;"",$F$6,TODAY()))-F21)</f>
      </c>
      <c r="I21" s="18"/>
      <c r="J21" s="18"/>
      <c r="K21" s="21"/>
      <c r="L21" s="23"/>
      <c r="M21" s="24">
        <f>IF(K21="","",K21-IF(L21="",0,L21)-$F$7)</f>
      </c>
      <c r="N21" s="19"/>
    </row>
    <row r="22" ht="18" customHeight="1" spans="1:14" x14ac:dyDescent="0.25">
      <c r="A22" s="17">
        <v>12</v>
      </c>
      <c r="B22" s="18"/>
      <c r="C22" s="19"/>
      <c r="D22" s="18"/>
      <c r="E22" s="20"/>
      <c r="F22" s="21"/>
      <c r="G22" s="21"/>
      <c r="H22" s="22">
        <f>IF(F22="","",IF(G22&lt;&gt;"",G22,IF($F$6&lt;&gt;"",$F$6,TODAY()))-F22)</f>
      </c>
      <c r="I22" s="18"/>
      <c r="J22" s="18"/>
      <c r="K22" s="21"/>
      <c r="L22" s="23"/>
      <c r="M22" s="24">
        <f>IF(K22="","",K22-IF(L22="",0,L22)-$F$7)</f>
      </c>
      <c r="N22" s="19"/>
    </row>
    <row r="23" ht="18" customHeight="1" spans="1:14" x14ac:dyDescent="0.25">
      <c r="A23" s="17">
        <v>13</v>
      </c>
      <c r="B23" s="18"/>
      <c r="C23" s="19"/>
      <c r="D23" s="18"/>
      <c r="E23" s="20"/>
      <c r="F23" s="21"/>
      <c r="G23" s="21"/>
      <c r="H23" s="22">
        <f>IF(F23="","",IF(G23&lt;&gt;"",G23,IF($F$6&lt;&gt;"",$F$6,TODAY()))-F23)</f>
      </c>
      <c r="I23" s="18"/>
      <c r="J23" s="18"/>
      <c r="K23" s="21"/>
      <c r="L23" s="23"/>
      <c r="M23" s="24">
        <f>IF(K23="","",K23-IF(L23="",0,L23)-$F$7)</f>
      </c>
      <c r="N23" s="19"/>
    </row>
    <row r="24" ht="18" customHeight="1" spans="1:14" x14ac:dyDescent="0.25">
      <c r="A24" s="17">
        <v>14</v>
      </c>
      <c r="B24" s="18"/>
      <c r="C24" s="19"/>
      <c r="D24" s="18"/>
      <c r="E24" s="20"/>
      <c r="F24" s="21"/>
      <c r="G24" s="21"/>
      <c r="H24" s="22">
        <f>IF(F24="","",IF(G24&lt;&gt;"",G24,IF($F$6&lt;&gt;"",$F$6,TODAY()))-F24)</f>
      </c>
      <c r="I24" s="18"/>
      <c r="J24" s="18"/>
      <c r="K24" s="21"/>
      <c r="L24" s="23"/>
      <c r="M24" s="24">
        <f>IF(K24="","",K24-IF(L24="",0,L24)-$F$7)</f>
      </c>
      <c r="N24" s="19"/>
    </row>
    <row r="25" ht="18" customHeight="1" spans="1:14" x14ac:dyDescent="0.25">
      <c r="A25" s="17">
        <v>15</v>
      </c>
      <c r="B25" s="18"/>
      <c r="C25" s="19"/>
      <c r="D25" s="18"/>
      <c r="E25" s="20"/>
      <c r="F25" s="21"/>
      <c r="G25" s="21"/>
      <c r="H25" s="22">
        <f>IF(F25="","",IF(G25&lt;&gt;"",G25,IF($F$6&lt;&gt;"",$F$6,TODAY()))-F25)</f>
      </c>
      <c r="I25" s="18"/>
      <c r="J25" s="18"/>
      <c r="K25" s="21"/>
      <c r="L25" s="23"/>
      <c r="M25" s="24">
        <f>IF(K25="","",K25-IF(L25="",0,L25)-$F$7)</f>
      </c>
      <c r="N25" s="19"/>
    </row>
    <row r="26" ht="18" customHeight="1" spans="1:14" x14ac:dyDescent="0.25">
      <c r="A26" s="17">
        <v>16</v>
      </c>
      <c r="B26" s="18"/>
      <c r="C26" s="19"/>
      <c r="D26" s="18"/>
      <c r="E26" s="20"/>
      <c r="F26" s="21"/>
      <c r="G26" s="21"/>
      <c r="H26" s="22">
        <f>IF(F26="","",IF(G26&lt;&gt;"",G26,IF($F$6&lt;&gt;"",$F$6,TODAY()))-F26)</f>
      </c>
      <c r="I26" s="18"/>
      <c r="J26" s="18"/>
      <c r="K26" s="21"/>
      <c r="L26" s="23"/>
      <c r="M26" s="24">
        <f>IF(K26="","",K26-IF(L26="",0,L26)-$F$7)</f>
      </c>
      <c r="N26" s="19"/>
    </row>
    <row r="27" ht="18" customHeight="1" spans="1:14" x14ac:dyDescent="0.25">
      <c r="A27" s="17">
        <v>17</v>
      </c>
      <c r="B27" s="18"/>
      <c r="C27" s="19"/>
      <c r="D27" s="18"/>
      <c r="E27" s="20"/>
      <c r="F27" s="21"/>
      <c r="G27" s="21"/>
      <c r="H27" s="22">
        <f>IF(F27="","",IF(G27&lt;&gt;"",G27,IF($F$6&lt;&gt;"",$F$6,TODAY()))-F27)</f>
      </c>
      <c r="I27" s="18"/>
      <c r="J27" s="18"/>
      <c r="K27" s="21"/>
      <c r="L27" s="23"/>
      <c r="M27" s="24">
        <f>IF(K27="","",K27-IF(L27="",0,L27)-$F$7)</f>
      </c>
      <c r="N27" s="19"/>
    </row>
    <row r="28" ht="18" customHeight="1" spans="1:14" x14ac:dyDescent="0.25">
      <c r="A28" s="17">
        <v>18</v>
      </c>
      <c r="B28" s="18"/>
      <c r="C28" s="19"/>
      <c r="D28" s="18"/>
      <c r="E28" s="20"/>
      <c r="F28" s="21"/>
      <c r="G28" s="21"/>
      <c r="H28" s="22">
        <f>IF(F28="","",IF(G28&lt;&gt;"",G28,IF($F$6&lt;&gt;"",$F$6,TODAY()))-F28)</f>
      </c>
      <c r="I28" s="18"/>
      <c r="J28" s="18"/>
      <c r="K28" s="21"/>
      <c r="L28" s="23"/>
      <c r="M28" s="24">
        <f>IF(K28="","",K28-IF(L28="",0,L28)-$F$7)</f>
      </c>
      <c r="N28" s="19"/>
    </row>
    <row r="29" ht="18" customHeight="1" spans="1:14" x14ac:dyDescent="0.25">
      <c r="A29" s="17">
        <v>19</v>
      </c>
      <c r="B29" s="18"/>
      <c r="C29" s="19"/>
      <c r="D29" s="18"/>
      <c r="E29" s="20"/>
      <c r="F29" s="21"/>
      <c r="G29" s="21"/>
      <c r="H29" s="22">
        <f>IF(F29="","",IF(G29&lt;&gt;"",G29,IF($F$6&lt;&gt;"",$F$6,TODAY()))-F29)</f>
      </c>
      <c r="I29" s="18"/>
      <c r="J29" s="18"/>
      <c r="K29" s="21"/>
      <c r="L29" s="23"/>
      <c r="M29" s="24">
        <f>IF(K29="","",K29-IF(L29="",0,L29)-$F$7)</f>
      </c>
      <c r="N29" s="19"/>
    </row>
    <row r="30" ht="18" customHeight="1" spans="1:14" x14ac:dyDescent="0.25">
      <c r="A30" s="17">
        <v>20</v>
      </c>
      <c r="B30" s="18"/>
      <c r="C30" s="19"/>
      <c r="D30" s="18"/>
      <c r="E30" s="20"/>
      <c r="F30" s="21"/>
      <c r="G30" s="21"/>
      <c r="H30" s="22">
        <f>IF(F30="","",IF(G30&lt;&gt;"",G30,IF($F$6&lt;&gt;"",$F$6,TODAY()))-F30)</f>
      </c>
      <c r="I30" s="18"/>
      <c r="J30" s="18"/>
      <c r="K30" s="21"/>
      <c r="L30" s="23"/>
      <c r="M30" s="24">
        <f>IF(K30="","",K30-IF(L30="",0,L30)-$F$7)</f>
      </c>
      <c r="N30" s="19"/>
    </row>
    <row r="31" ht="18" customHeight="1" spans="1:14" x14ac:dyDescent="0.25">
      <c r="A31" s="17">
        <v>21</v>
      </c>
      <c r="B31" s="18"/>
      <c r="C31" s="19"/>
      <c r="D31" s="18"/>
      <c r="E31" s="20"/>
      <c r="F31" s="21"/>
      <c r="G31" s="21"/>
      <c r="H31" s="22">
        <f>IF(F31="","",IF(G31&lt;&gt;"",G31,IF($F$6&lt;&gt;"",$F$6,TODAY()))-F31)</f>
      </c>
      <c r="I31" s="18"/>
      <c r="J31" s="18"/>
      <c r="K31" s="21"/>
      <c r="L31" s="23"/>
      <c r="M31" s="24">
        <f>IF(K31="","",K31-IF(L31="",0,L31)-$F$7)</f>
      </c>
      <c r="N31" s="19"/>
    </row>
    <row r="32" ht="18" customHeight="1" spans="1:14" x14ac:dyDescent="0.25">
      <c r="A32" s="17">
        <v>22</v>
      </c>
      <c r="B32" s="18"/>
      <c r="C32" s="19"/>
      <c r="D32" s="18"/>
      <c r="E32" s="20"/>
      <c r="F32" s="21"/>
      <c r="G32" s="21"/>
      <c r="H32" s="22">
        <f>IF(F32="","",IF(G32&lt;&gt;"",G32,IF($F$6&lt;&gt;"",$F$6,TODAY()))-F32)</f>
      </c>
      <c r="I32" s="18"/>
      <c r="J32" s="18"/>
      <c r="K32" s="21"/>
      <c r="L32" s="23"/>
      <c r="M32" s="24">
        <f>IF(K32="","",K32-IF(L32="",0,L32)-$F$7)</f>
      </c>
      <c r="N32" s="19"/>
    </row>
    <row r="33" ht="18" customHeight="1" spans="1:14" x14ac:dyDescent="0.25">
      <c r="A33" s="17">
        <v>23</v>
      </c>
      <c r="B33" s="18"/>
      <c r="C33" s="19"/>
      <c r="D33" s="18"/>
      <c r="E33" s="20"/>
      <c r="F33" s="21"/>
      <c r="G33" s="21"/>
      <c r="H33" s="22">
        <f>IF(F33="","",IF(G33&lt;&gt;"",G33,IF($F$6&lt;&gt;"",$F$6,TODAY()))-F33)</f>
      </c>
      <c r="I33" s="18"/>
      <c r="J33" s="18"/>
      <c r="K33" s="21"/>
      <c r="L33" s="23"/>
      <c r="M33" s="24">
        <f>IF(K33="","",K33-IF(L33="",0,L33)-$F$7)</f>
      </c>
      <c r="N33" s="19"/>
    </row>
    <row r="34" ht="18" customHeight="1" spans="1:14" x14ac:dyDescent="0.25">
      <c r="A34" s="17">
        <v>24</v>
      </c>
      <c r="B34" s="18"/>
      <c r="C34" s="19"/>
      <c r="D34" s="18"/>
      <c r="E34" s="20"/>
      <c r="F34" s="21"/>
      <c r="G34" s="21"/>
      <c r="H34" s="22">
        <f>IF(F34="","",IF(G34&lt;&gt;"",G34,IF($F$6&lt;&gt;"",$F$6,TODAY()))-F34)</f>
      </c>
      <c r="I34" s="18"/>
      <c r="J34" s="18"/>
      <c r="K34" s="21"/>
      <c r="L34" s="23"/>
      <c r="M34" s="24">
        <f>IF(K34="","",K34-IF(L34="",0,L34)-$F$7)</f>
      </c>
      <c r="N34" s="19"/>
    </row>
    <row r="35" ht="18" customHeight="1" spans="1:14" x14ac:dyDescent="0.25">
      <c r="A35" s="17">
        <v>25</v>
      </c>
      <c r="B35" s="18"/>
      <c r="C35" s="19"/>
      <c r="D35" s="18"/>
      <c r="E35" s="20"/>
      <c r="F35" s="21"/>
      <c r="G35" s="21"/>
      <c r="H35" s="22">
        <f>IF(F35="","",IF(G35&lt;&gt;"",G35,IF($F$6&lt;&gt;"",$F$6,TODAY()))-F35)</f>
      </c>
      <c r="I35" s="18"/>
      <c r="J35" s="18"/>
      <c r="K35" s="21"/>
      <c r="L35" s="23"/>
      <c r="M35" s="24">
        <f>IF(K35="","",K35-IF(L35="",0,L35)-$F$7)</f>
      </c>
      <c r="N35" s="19"/>
    </row>
    <row r="36" ht="18" customHeight="1" spans="1:14" x14ac:dyDescent="0.25">
      <c r="A36" s="17">
        <v>26</v>
      </c>
      <c r="B36" s="18"/>
      <c r="C36" s="19"/>
      <c r="D36" s="18"/>
      <c r="E36" s="20"/>
      <c r="F36" s="21"/>
      <c r="G36" s="21"/>
      <c r="H36" s="22">
        <f>IF(F36="","",IF(G36&lt;&gt;"",G36,IF($F$6&lt;&gt;"",$F$6,TODAY()))-F36)</f>
      </c>
      <c r="I36" s="18"/>
      <c r="J36" s="18"/>
      <c r="K36" s="21"/>
      <c r="L36" s="23"/>
      <c r="M36" s="24">
        <f>IF(K36="","",K36-IF(L36="",0,L36)-$F$7)</f>
      </c>
      <c r="N36" s="19"/>
    </row>
    <row r="37" ht="18" customHeight="1" spans="1:14" x14ac:dyDescent="0.25">
      <c r="A37" s="17">
        <v>27</v>
      </c>
      <c r="B37" s="18"/>
      <c r="C37" s="19"/>
      <c r="D37" s="18"/>
      <c r="E37" s="20"/>
      <c r="F37" s="21"/>
      <c r="G37" s="21"/>
      <c r="H37" s="22">
        <f>IF(F37="","",IF(G37&lt;&gt;"",G37,IF($F$6&lt;&gt;"",$F$6,TODAY()))-F37)</f>
      </c>
      <c r="I37" s="18"/>
      <c r="J37" s="18"/>
      <c r="K37" s="21"/>
      <c r="L37" s="23"/>
      <c r="M37" s="24">
        <f>IF(K37="","",K37-IF(L37="",0,L37)-$F$7)</f>
      </c>
      <c r="N37" s="19"/>
    </row>
    <row r="38" ht="18" customHeight="1" spans="1:14" x14ac:dyDescent="0.25">
      <c r="A38" s="17">
        <v>28</v>
      </c>
      <c r="B38" s="18"/>
      <c r="C38" s="19"/>
      <c r="D38" s="18"/>
      <c r="E38" s="20"/>
      <c r="F38" s="21"/>
      <c r="G38" s="21"/>
      <c r="H38" s="22">
        <f>IF(F38="","",IF(G38&lt;&gt;"",G38,IF($F$6&lt;&gt;"",$F$6,TODAY()))-F38)</f>
      </c>
      <c r="I38" s="18"/>
      <c r="J38" s="18"/>
      <c r="K38" s="21"/>
      <c r="L38" s="23"/>
      <c r="M38" s="24">
        <f>IF(K38="","",K38-IF(L38="",0,L38)-$F$7)</f>
      </c>
      <c r="N38" s="19"/>
    </row>
    <row r="39" ht="18" customHeight="1" spans="1:14" x14ac:dyDescent="0.25">
      <c r="A39" s="17">
        <v>29</v>
      </c>
      <c r="B39" s="18"/>
      <c r="C39" s="19"/>
      <c r="D39" s="18"/>
      <c r="E39" s="20"/>
      <c r="F39" s="21"/>
      <c r="G39" s="21"/>
      <c r="H39" s="22">
        <f>IF(F39="","",IF(G39&lt;&gt;"",G39,IF($F$6&lt;&gt;"",$F$6,TODAY()))-F39)</f>
      </c>
      <c r="I39" s="18"/>
      <c r="J39" s="18"/>
      <c r="K39" s="21"/>
      <c r="L39" s="23"/>
      <c r="M39" s="24">
        <f>IF(K39="","",K39-IF(L39="",0,L39)-$F$7)</f>
      </c>
      <c r="N39" s="19"/>
    </row>
    <row r="40" ht="18" customHeight="1" spans="1:14" x14ac:dyDescent="0.25">
      <c r="A40" s="17">
        <v>30</v>
      </c>
      <c r="B40" s="18"/>
      <c r="C40" s="19"/>
      <c r="D40" s="18"/>
      <c r="E40" s="20"/>
      <c r="F40" s="21"/>
      <c r="G40" s="21"/>
      <c r="H40" s="22">
        <f>IF(F40="","",IF(G40&lt;&gt;"",G40,IF($F$6&lt;&gt;"",$F$6,TODAY()))-F40)</f>
      </c>
      <c r="I40" s="18"/>
      <c r="J40" s="18"/>
      <c r="K40" s="21"/>
      <c r="L40" s="23"/>
      <c r="M40" s="24">
        <f>IF(K40="","",K40-IF(L40="",0,L40)-$F$7)</f>
      </c>
      <c r="N40" s="19"/>
    </row>
    <row r="41" ht="18" customHeight="1" spans="1:14" x14ac:dyDescent="0.25">
      <c r="A41" s="17">
        <v>31</v>
      </c>
      <c r="B41" s="18"/>
      <c r="C41" s="19"/>
      <c r="D41" s="18"/>
      <c r="E41" s="20"/>
      <c r="F41" s="21"/>
      <c r="G41" s="21"/>
      <c r="H41" s="22">
        <f>IF(F41="","",IF(G41&lt;&gt;"",G41,IF($F$6&lt;&gt;"",$F$6,TODAY()))-F41)</f>
      </c>
      <c r="I41" s="18"/>
      <c r="J41" s="18"/>
      <c r="K41" s="21"/>
      <c r="L41" s="23"/>
      <c r="M41" s="24">
        <f>IF(K41="","",K41-IF(L41="",0,L41)-$F$7)</f>
      </c>
      <c r="N41" s="19"/>
    </row>
    <row r="42" ht="18" customHeight="1" spans="1:14" x14ac:dyDescent="0.25">
      <c r="A42" s="17">
        <v>32</v>
      </c>
      <c r="B42" s="18"/>
      <c r="C42" s="19"/>
      <c r="D42" s="18"/>
      <c r="E42" s="20"/>
      <c r="F42" s="21"/>
      <c r="G42" s="21"/>
      <c r="H42" s="22">
        <f>IF(F42="","",IF(G42&lt;&gt;"",G42,IF($F$6&lt;&gt;"",$F$6,TODAY()))-F42)</f>
      </c>
      <c r="I42" s="18"/>
      <c r="J42" s="18"/>
      <c r="K42" s="21"/>
      <c r="L42" s="23"/>
      <c r="M42" s="24">
        <f>IF(K42="","",K42-IF(L42="",0,L42)-$F$7)</f>
      </c>
      <c r="N42" s="19"/>
    </row>
    <row r="43" ht="18" customHeight="1" spans="1:14" x14ac:dyDescent="0.25">
      <c r="A43" s="17">
        <v>33</v>
      </c>
      <c r="B43" s="18"/>
      <c r="C43" s="19"/>
      <c r="D43" s="18"/>
      <c r="E43" s="20"/>
      <c r="F43" s="21"/>
      <c r="G43" s="21"/>
      <c r="H43" s="22">
        <f>IF(F43="","",IF(G43&lt;&gt;"",G43,IF($F$6&lt;&gt;"",$F$6,TODAY()))-F43)</f>
      </c>
      <c r="I43" s="18"/>
      <c r="J43" s="18"/>
      <c r="K43" s="21"/>
      <c r="L43" s="23"/>
      <c r="M43" s="24">
        <f>IF(K43="","",K43-IF(L43="",0,L43)-$F$7)</f>
      </c>
      <c r="N43" s="19"/>
    </row>
    <row r="44" ht="18" customHeight="1" spans="1:14" x14ac:dyDescent="0.25">
      <c r="A44" s="17">
        <v>34</v>
      </c>
      <c r="B44" s="18"/>
      <c r="C44" s="19"/>
      <c r="D44" s="18"/>
      <c r="E44" s="20"/>
      <c r="F44" s="21"/>
      <c r="G44" s="21"/>
      <c r="H44" s="22">
        <f>IF(F44="","",IF(G44&lt;&gt;"",G44,IF($F$6&lt;&gt;"",$F$6,TODAY()))-F44)</f>
      </c>
      <c r="I44" s="18"/>
      <c r="J44" s="18"/>
      <c r="K44" s="21"/>
      <c r="L44" s="23"/>
      <c r="M44" s="24">
        <f>IF(K44="","",K44-IF(L44="",0,L44)-$F$7)</f>
      </c>
      <c r="N44" s="19"/>
    </row>
    <row r="45" ht="18" customHeight="1" spans="1:14" x14ac:dyDescent="0.25">
      <c r="A45" s="17">
        <v>35</v>
      </c>
      <c r="B45" s="18"/>
      <c r="C45" s="19"/>
      <c r="D45" s="18"/>
      <c r="E45" s="20"/>
      <c r="F45" s="21"/>
      <c r="G45" s="21"/>
      <c r="H45" s="22">
        <f>IF(F45="","",IF(G45&lt;&gt;"",G45,IF($F$6&lt;&gt;"",$F$6,TODAY()))-F45)</f>
      </c>
      <c r="I45" s="18"/>
      <c r="J45" s="18"/>
      <c r="K45" s="21"/>
      <c r="L45" s="23"/>
      <c r="M45" s="24">
        <f>IF(K45="","",K45-IF(L45="",0,L45)-$F$7)</f>
      </c>
      <c r="N45" s="19"/>
    </row>
    <row r="46" ht="18" customHeight="1" spans="1:14" x14ac:dyDescent="0.25">
      <c r="A46" s="17">
        <v>36</v>
      </c>
      <c r="B46" s="18"/>
      <c r="C46" s="19"/>
      <c r="D46" s="18"/>
      <c r="E46" s="20"/>
      <c r="F46" s="21"/>
      <c r="G46" s="21"/>
      <c r="H46" s="22">
        <f>IF(F46="","",IF(G46&lt;&gt;"",G46,IF($F$6&lt;&gt;"",$F$6,TODAY()))-F46)</f>
      </c>
      <c r="I46" s="18"/>
      <c r="J46" s="18"/>
      <c r="K46" s="21"/>
      <c r="L46" s="23"/>
      <c r="M46" s="24">
        <f>IF(K46="","",K46-IF(L46="",0,L46)-$F$7)</f>
      </c>
      <c r="N46" s="19"/>
    </row>
    <row r="47" ht="18" customHeight="1" spans="1:14" x14ac:dyDescent="0.25">
      <c r="A47" s="17">
        <v>37</v>
      </c>
      <c r="B47" s="18"/>
      <c r="C47" s="19"/>
      <c r="D47" s="18"/>
      <c r="E47" s="20"/>
      <c r="F47" s="21"/>
      <c r="G47" s="21"/>
      <c r="H47" s="22">
        <f>IF(F47="","",IF(G47&lt;&gt;"",G47,IF($F$6&lt;&gt;"",$F$6,TODAY()))-F47)</f>
      </c>
      <c r="I47" s="18"/>
      <c r="J47" s="18"/>
      <c r="K47" s="21"/>
      <c r="L47" s="23"/>
      <c r="M47" s="24">
        <f>IF(K47="","",K47-IF(L47="",0,L47)-$F$7)</f>
      </c>
      <c r="N47" s="19"/>
    </row>
    <row r="48" ht="18" customHeight="1" spans="1:14" x14ac:dyDescent="0.25">
      <c r="A48" s="17">
        <v>38</v>
      </c>
      <c r="B48" s="18"/>
      <c r="C48" s="19"/>
      <c r="D48" s="18"/>
      <c r="E48" s="20"/>
      <c r="F48" s="21"/>
      <c r="G48" s="21"/>
      <c r="H48" s="22">
        <f>IF(F48="","",IF(G48&lt;&gt;"",G48,IF($F$6&lt;&gt;"",$F$6,TODAY()))-F48)</f>
      </c>
      <c r="I48" s="18"/>
      <c r="J48" s="18"/>
      <c r="K48" s="21"/>
      <c r="L48" s="23"/>
      <c r="M48" s="24">
        <f>IF(K48="","",K48-IF(L48="",0,L48)-$F$7)</f>
      </c>
      <c r="N48" s="19"/>
    </row>
    <row r="49" ht="18" customHeight="1" spans="1:14" x14ac:dyDescent="0.25">
      <c r="A49" s="17">
        <v>39</v>
      </c>
      <c r="B49" s="18"/>
      <c r="C49" s="19"/>
      <c r="D49" s="18"/>
      <c r="E49" s="20"/>
      <c r="F49" s="21"/>
      <c r="G49" s="21"/>
      <c r="H49" s="22">
        <f>IF(F49="","",IF(G49&lt;&gt;"",G49,IF($F$6&lt;&gt;"",$F$6,TODAY()))-F49)</f>
      </c>
      <c r="I49" s="18"/>
      <c r="J49" s="18"/>
      <c r="K49" s="21"/>
      <c r="L49" s="23"/>
      <c r="M49" s="24">
        <f>IF(K49="","",K49-IF(L49="",0,L49)-$F$7)</f>
      </c>
      <c r="N49" s="19"/>
    </row>
    <row r="50" ht="18" customHeight="1" spans="1:14" x14ac:dyDescent="0.25">
      <c r="A50" s="17">
        <v>40</v>
      </c>
      <c r="B50" s="18"/>
      <c r="C50" s="19"/>
      <c r="D50" s="18"/>
      <c r="E50" s="20"/>
      <c r="F50" s="21"/>
      <c r="G50" s="21"/>
      <c r="H50" s="22">
        <f>IF(F50="","",IF(G50&lt;&gt;"",G50,IF($F$6&lt;&gt;"",$F$6,TODAY()))-F50)</f>
      </c>
      <c r="I50" s="18"/>
      <c r="J50" s="18"/>
      <c r="K50" s="21"/>
      <c r="L50" s="23"/>
      <c r="M50" s="24">
        <f>IF(K50="","",K50-IF(L50="",0,L50)-$F$7)</f>
      </c>
      <c r="N50" s="19"/>
    </row>
    <row r="51" ht="22" customHeight="1" spans="1:14" x14ac:dyDescent="0.25">
      <c r="A51" s="25" t="s">
        <v>30</v>
      </c>
      <c r="B51" s="25" t="s">
        <v>31</v>
      </c>
      <c r="C51" s="25">
        <f>"Submittals logged: "&amp;COUNTA(C11:C50)</f>
      </c>
      <c r="D51" s="25"/>
      <c r="E51" s="25"/>
      <c r="F51" s="26">
        <f>COUNT(F11:F50)&amp;" sent"</f>
      </c>
      <c r="G51" s="26">
        <f>COUNT(G11:G50)&amp;" back"</f>
      </c>
      <c r="H51" s="27">
        <f>IF(COUNT(H11:H50)=0,"",ROUND(AVERAGE(H11:H50),0))</f>
      </c>
      <c r="I51" s="28" t="s">
        <v>32</v>
      </c>
      <c r="J51" s="25"/>
      <c r="K51" s="25"/>
      <c r="L51" s="25"/>
      <c r="M51" s="26">
        <f>COUNTIFS(I11:I50,"Not Submitted",M11:M50,"&lt;"&amp;IF($F$6&lt;&gt;"",$F$6,TODAY()))&amp;" late"</f>
      </c>
      <c r="N51" s="25"/>
    </row>
    <row r="53" ht="30" customHeight="1" spans="1:14" x14ac:dyDescent="0.25">
      <c r="A53" s="29" t="s">
        <v>33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5" ht="26" customHeight="1" spans="1:14" x14ac:dyDescent="0.25">
      <c r="A55" s="30" t="s">
        <v>34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</sheetData>
  <mergeCells count="15">
    <mergeCell ref="L1:N1"/>
    <mergeCell ref="A6:B6"/>
    <mergeCell ref="D6:E6"/>
    <mergeCell ref="F6:G6"/>
    <mergeCell ref="K6:L6"/>
    <mergeCell ref="A7:B7"/>
    <mergeCell ref="D7:E7"/>
    <mergeCell ref="F7:G7"/>
    <mergeCell ref="K7:L7"/>
    <mergeCell ref="A8:B8"/>
    <mergeCell ref="D8:E8"/>
    <mergeCell ref="F8:G8"/>
    <mergeCell ref="K8:L8"/>
    <mergeCell ref="A53:N53"/>
    <mergeCell ref="A55:N55"/>
  </mergeCells>
  <conditionalFormatting sqref="I11:I50">
    <cfRule type="containsText" dxfId="0" priority="1">
      <formula>NOT(ISERROR(SEARCH("Approved as Noted",I11)))</formula>
    </cfRule>
    <cfRule type="containsText" dxfId="1" priority="2">
      <formula>NOT(ISERROR(SEARCH("Approved",I11)))</formula>
    </cfRule>
    <cfRule type="containsText" dxfId="2" priority="3">
      <formula>NOT(ISERROR(SEARCH("Revise",I11)))</formula>
    </cfRule>
    <cfRule type="containsText" dxfId="3" priority="4">
      <formula>NOT(ISERROR(SEARCH("Rejected",I11)))</formula>
    </cfRule>
    <cfRule type="containsText" dxfId="4" priority="5">
      <formula>NOT(ISERROR(SEARCH("Submitted",I11)))</formula>
    </cfRule>
    <cfRule type="containsText" dxfId="5" priority="6">
      <formula>NOT(ISERROR(SEARCH("Not Submitted",I11)))</formula>
    </cfRule>
  </conditionalFormatting>
  <conditionalFormatting sqref="H11:H50">
    <cfRule type="expression" dxfId="6" priority="1">
      <formula>AND($I11="Submitted",$H11&lt;&gt;"",$H11&gt;$F$7)</formula>
    </cfRule>
  </conditionalFormatting>
  <conditionalFormatting sqref="M11:M50">
    <cfRule type="expression" dxfId="7" priority="2">
      <formula>AND($M11&lt;&gt;"",OR(AND($I11="Not Submitted",$M11&lt;IF($F$6&lt;&gt;"",$F$6,TODAY())),AND($F11&lt;&gt;"",$F11&gt;$M11)))</formula>
    </cfRule>
  </conditionalFormatting>
  <dataValidations count="2">
    <dataValidation type="list" allowBlank="1" showErrorMessage="1" errorTitle="Pick from the list" error="Choose one of: Product Data, Shop Drawings, Samples, Mock-up, Calculations, Certificates, O&amp;M / Closeout" sqref="D11:D50">
      <formula1>"Product Data,Shop Drawings,Samples,Mock-up,Calculations,Certificates,O&amp;M / Closeout"</formula1>
    </dataValidation>
    <dataValidation type="list" allowBlank="1" showErrorMessage="1" errorTitle="Pick from the list" error="Choose one of: Not Submitted, Submitted, Approved, Approved as Noted, Revise and Resubmit, Rejected" sqref="I11:I50">
      <formula1>"Not Submitted,Submitted,Approved,Approved as Noted,Revise and Resubmit,Rejected"</formula1>
    </dataValidation>
  </dataValidations>
  <hyperlinks>
    <hyperlink ref="A55" r:id="rId1"/>
  </hyperlinks>
  <printOptions horizontalCentered="1"/>
  <pageMargins left="0.5" right="0.5" top="0.6" bottom="0.6" header="0.3" footer="0.3"/>
  <pageSetup paperSize="1" orientation="landscape" horizontalDpi="4294967295" verticalDpi="4294967295" scale="100" fitToWidth="1" fitToHeight="0"/>
  <headerFooter>
    <oddFooter>&amp;L&amp;8&amp;K8B93A1Free template by BuildWorkPro · buildworkpro.com/templates&amp;C&amp;8&amp;K8B93A1Submittal Log&amp;R&amp;8&amp;K8B93A1Page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0" customWidth="1"/>
    <col min="3" max="3" width="44" customWidth="1"/>
    <col min="4" max="5" width="14" customWidth="1"/>
    <col min="6" max="6" width="8" customWidth="1"/>
  </cols>
  <sheetData>
    <row r="1" ht="30" customHeight="1" spans="1:6" x14ac:dyDescent="0.25">
      <c r="A1" s="1" t="s">
        <v>35</v>
      </c>
      <c r="D1" s="2" t="s">
        <v>36</v>
      </c>
      <c r="E1" s="2"/>
      <c r="F1" s="2"/>
    </row>
    <row r="2" spans="1:1" x14ac:dyDescent="0.25">
      <c r="A2" s="3" t="s">
        <v>37</v>
      </c>
    </row>
    <row r="3" ht="6" customHeight="1" spans="1:6" x14ac:dyDescent="0.25">
      <c r="A3" s="4"/>
      <c r="B3" s="4"/>
      <c r="C3" s="4"/>
      <c r="D3" s="4"/>
      <c r="E3" s="4"/>
      <c r="F3" s="4"/>
    </row>
    <row r="4" spans="1:2" x14ac:dyDescent="0.25">
      <c r="A4" s="5"/>
      <c r="B4" s="6" t="s">
        <v>3</v>
      </c>
    </row>
    <row r="6" spans="1:4" x14ac:dyDescent="0.25">
      <c r="A6" s="31" t="s">
        <v>38</v>
      </c>
      <c r="D6" s="31" t="s">
        <v>39</v>
      </c>
    </row>
    <row r="7" spans="1:6" x14ac:dyDescent="0.25">
      <c r="A7" s="7" t="s">
        <v>40</v>
      </c>
      <c r="B7" s="7"/>
      <c r="C7" s="8"/>
      <c r="D7" s="7" t="s">
        <v>41</v>
      </c>
      <c r="E7" s="8"/>
      <c r="F7" s="8"/>
    </row>
    <row r="8" spans="1:6" x14ac:dyDescent="0.25">
      <c r="A8" s="7" t="s">
        <v>42</v>
      </c>
      <c r="B8" s="7"/>
      <c r="C8" s="8"/>
      <c r="D8" s="7" t="s">
        <v>43</v>
      </c>
      <c r="E8" s="9"/>
      <c r="F8" s="9"/>
    </row>
    <row r="9" spans="1:6" x14ac:dyDescent="0.25">
      <c r="A9" s="7" t="s">
        <v>4</v>
      </c>
      <c r="B9" s="7"/>
      <c r="C9" s="8"/>
      <c r="D9" s="7" t="s">
        <v>9</v>
      </c>
      <c r="E9" s="12">
        <v>14</v>
      </c>
      <c r="F9" s="12"/>
    </row>
    <row r="10" spans="1:6" x14ac:dyDescent="0.25">
      <c r="A10" s="7" t="s">
        <v>44</v>
      </c>
      <c r="B10" s="7"/>
      <c r="C10" s="8"/>
      <c r="D10" s="32" t="s">
        <v>45</v>
      </c>
      <c r="E10" s="33">
        <f>IF(E8="","",E8+E9)</f>
      </c>
      <c r="F10" s="33"/>
    </row>
    <row r="12" spans="1:1" x14ac:dyDescent="0.25">
      <c r="A12" s="31" t="s">
        <v>46</v>
      </c>
    </row>
    <row r="13" spans="1:6" x14ac:dyDescent="0.25">
      <c r="A13" s="7" t="s">
        <v>47</v>
      </c>
      <c r="B13" s="7"/>
      <c r="C13" s="8"/>
      <c r="D13" s="7" t="s">
        <v>48</v>
      </c>
      <c r="E13" s="8"/>
      <c r="F13" s="8"/>
    </row>
    <row r="14" spans="1:6" x14ac:dyDescent="0.25">
      <c r="A14" s="7" t="s">
        <v>49</v>
      </c>
      <c r="B14" s="7"/>
      <c r="C14" s="8"/>
      <c r="D14" s="7" t="s">
        <v>50</v>
      </c>
      <c r="E14" s="8"/>
      <c r="F14" s="8"/>
    </row>
    <row r="16" ht="22" customHeight="1" spans="1:6" x14ac:dyDescent="0.25">
      <c r="A16" s="14" t="s">
        <v>16</v>
      </c>
      <c r="B16" s="14" t="s">
        <v>51</v>
      </c>
      <c r="C16" s="15" t="s">
        <v>52</v>
      </c>
      <c r="D16" s="15" t="s">
        <v>17</v>
      </c>
      <c r="E16" s="15" t="s">
        <v>19</v>
      </c>
      <c r="F16" s="14" t="s">
        <v>20</v>
      </c>
    </row>
    <row r="17" spans="1:6" x14ac:dyDescent="0.25">
      <c r="A17" s="17">
        <v>1</v>
      </c>
      <c r="B17" s="34"/>
      <c r="C17" s="19"/>
      <c r="D17" s="18"/>
      <c r="E17" s="18"/>
      <c r="F17" s="34"/>
    </row>
    <row r="18" spans="1:6" x14ac:dyDescent="0.25">
      <c r="A18" s="17">
        <v>2</v>
      </c>
      <c r="B18" s="34"/>
      <c r="C18" s="19"/>
      <c r="D18" s="18"/>
      <c r="E18" s="18"/>
      <c r="F18" s="34"/>
    </row>
    <row r="19" spans="1:6" x14ac:dyDescent="0.25">
      <c r="A19" s="17">
        <v>3</v>
      </c>
      <c r="B19" s="34"/>
      <c r="C19" s="19"/>
      <c r="D19" s="18"/>
      <c r="E19" s="18"/>
      <c r="F19" s="34"/>
    </row>
    <row r="20" spans="1:6" x14ac:dyDescent="0.25">
      <c r="A20" s="17">
        <v>4</v>
      </c>
      <c r="B20" s="34"/>
      <c r="C20" s="19"/>
      <c r="D20" s="18"/>
      <c r="E20" s="18"/>
      <c r="F20" s="34"/>
    </row>
    <row r="21" spans="1:6" x14ac:dyDescent="0.25">
      <c r="A21" s="17">
        <v>5</v>
      </c>
      <c r="B21" s="34"/>
      <c r="C21" s="19"/>
      <c r="D21" s="18"/>
      <c r="E21" s="18"/>
      <c r="F21" s="34"/>
    </row>
    <row r="22" spans="1:6" x14ac:dyDescent="0.25">
      <c r="A22" s="17">
        <v>6</v>
      </c>
      <c r="B22" s="34"/>
      <c r="C22" s="19"/>
      <c r="D22" s="18"/>
      <c r="E22" s="18"/>
      <c r="F22" s="34"/>
    </row>
    <row r="23" spans="1:6" x14ac:dyDescent="0.25">
      <c r="A23" s="17">
        <v>7</v>
      </c>
      <c r="B23" s="34"/>
      <c r="C23" s="19"/>
      <c r="D23" s="18"/>
      <c r="E23" s="18"/>
      <c r="F23" s="34"/>
    </row>
    <row r="24" spans="1:6" x14ac:dyDescent="0.25">
      <c r="A24" s="17">
        <v>8</v>
      </c>
      <c r="B24" s="34"/>
      <c r="C24" s="19"/>
      <c r="D24" s="18"/>
      <c r="E24" s="18"/>
      <c r="F24" s="34"/>
    </row>
    <row r="26" spans="1:1" x14ac:dyDescent="0.25">
      <c r="A26" s="31" t="s">
        <v>53</v>
      </c>
    </row>
    <row r="27" spans="1:6" x14ac:dyDescent="0.25">
      <c r="A27" s="32" t="s">
        <v>54</v>
      </c>
      <c r="B27" s="32"/>
      <c r="C27" s="32"/>
      <c r="D27" s="32"/>
      <c r="E27" s="32"/>
      <c r="F27" s="32"/>
    </row>
    <row r="29" spans="1:1" x14ac:dyDescent="0.25">
      <c r="A29" s="31" t="s">
        <v>55</v>
      </c>
    </row>
    <row r="30" ht="18" customHeight="1" spans="1:6" x14ac:dyDescent="0.25">
      <c r="A30" s="35"/>
      <c r="B30" s="35"/>
      <c r="C30" s="35"/>
      <c r="D30" s="35"/>
      <c r="E30" s="35"/>
      <c r="F30" s="35"/>
    </row>
    <row r="31" ht="18" customHeight="1" spans="1:6" x14ac:dyDescent="0.25">
      <c r="A31" s="35"/>
      <c r="B31" s="35"/>
      <c r="C31" s="35"/>
      <c r="D31" s="35"/>
      <c r="E31" s="35"/>
      <c r="F31" s="35"/>
    </row>
    <row r="32" ht="18" customHeight="1" spans="1:6" x14ac:dyDescent="0.25">
      <c r="A32" s="35"/>
      <c r="B32" s="35"/>
      <c r="C32" s="35"/>
      <c r="D32" s="35"/>
      <c r="E32" s="35"/>
      <c r="F32" s="35"/>
    </row>
    <row r="33" ht="18" customHeight="1" spans="1:6" x14ac:dyDescent="0.25">
      <c r="A33" s="35"/>
      <c r="B33" s="35"/>
      <c r="C33" s="35"/>
      <c r="D33" s="35"/>
      <c r="E33" s="35"/>
      <c r="F33" s="35"/>
    </row>
    <row r="35" spans="1:4" x14ac:dyDescent="0.25">
      <c r="A35" s="36" t="s">
        <v>56</v>
      </c>
      <c r="D35" s="36" t="s">
        <v>57</v>
      </c>
    </row>
    <row r="37" ht="22" customHeight="1" spans="1:6" x14ac:dyDescent="0.25">
      <c r="A37" s="37"/>
      <c r="B37" s="37"/>
      <c r="C37" s="37"/>
      <c r="D37" s="37"/>
      <c r="E37" s="37"/>
      <c r="F37" s="37"/>
    </row>
    <row r="38" spans="1:4" x14ac:dyDescent="0.25">
      <c r="A38" s="38" t="s">
        <v>58</v>
      </c>
      <c r="D38" s="38" t="s">
        <v>58</v>
      </c>
    </row>
    <row r="39" ht="22" customHeight="1" spans="1:6" x14ac:dyDescent="0.25">
      <c r="A39" s="37"/>
      <c r="B39" s="37"/>
      <c r="C39" s="37"/>
      <c r="D39" s="37"/>
      <c r="E39" s="37"/>
      <c r="F39" s="37"/>
    </row>
    <row r="40" spans="1:4" x14ac:dyDescent="0.25">
      <c r="A40" s="38" t="s">
        <v>59</v>
      </c>
      <c r="D40" s="38" t="s">
        <v>59</v>
      </c>
    </row>
    <row r="41" ht="22" customHeight="1" spans="1:6" x14ac:dyDescent="0.25">
      <c r="A41" s="37"/>
      <c r="B41" s="37"/>
      <c r="C41" s="37"/>
      <c r="D41" s="37"/>
      <c r="E41" s="37"/>
      <c r="F41" s="37"/>
    </row>
    <row r="42" spans="1:4" x14ac:dyDescent="0.25">
      <c r="A42" s="38" t="s">
        <v>60</v>
      </c>
      <c r="D42" s="38" t="s">
        <v>60</v>
      </c>
    </row>
    <row r="44" ht="52" customHeight="1" spans="1:6" x14ac:dyDescent="0.25">
      <c r="A44" s="30" t="s">
        <v>61</v>
      </c>
      <c r="B44" s="30"/>
      <c r="C44" s="30"/>
      <c r="D44" s="30"/>
      <c r="E44" s="30"/>
      <c r="F44" s="30"/>
    </row>
  </sheetData>
  <mergeCells count="22">
    <mergeCell ref="D1:F1"/>
    <mergeCell ref="A7:B7"/>
    <mergeCell ref="E7:F7"/>
    <mergeCell ref="A8:B8"/>
    <mergeCell ref="E8:F8"/>
    <mergeCell ref="A9:B9"/>
    <mergeCell ref="E9:F9"/>
    <mergeCell ref="A10:B10"/>
    <mergeCell ref="E10:F10"/>
    <mergeCell ref="A13:B13"/>
    <mergeCell ref="E13:F13"/>
    <mergeCell ref="A14:B14"/>
    <mergeCell ref="E14:F14"/>
    <mergeCell ref="A27:F27"/>
    <mergeCell ref="A30:F33"/>
    <mergeCell ref="A37:C37"/>
    <mergeCell ref="D37:F37"/>
    <mergeCell ref="A39:C39"/>
    <mergeCell ref="D39:F39"/>
    <mergeCell ref="A41:C41"/>
    <mergeCell ref="D41:F41"/>
    <mergeCell ref="A44:F44"/>
  </mergeCells>
  <dataValidations count="3">
    <dataValidation type="list" allowBlank="1" showErrorMessage="1" errorTitle="Pick from the list" error="Choose one of: Upload to GC portal, Email, Hand delivered, Courier" sqref="E13:F13">
      <formula1>"Upload to GC portal,Email,Hand delivered,Courier"</formula1>
    </dataValidation>
    <dataValidation type="list" allowBlank="1" showErrorMessage="1" errorTitle="Pick from the list" error="Choose one of: For review and approval, For information, Resubmittal, For record / closeout" sqref="E14:F14">
      <formula1>"For review and approval,For information,Resubmittal,For record / closeout"</formula1>
    </dataValidation>
    <dataValidation type="list" allowBlank="1" showErrorMessage="1" errorTitle="Pick from the list" error="Choose one of: Product Data, Shop Drawings, Samples, Mock-up, Calculations, Certificates, O&amp;M / Closeout" sqref="E17:E24">
      <formula1>"Product Data,Shop Drawings,Samples,Mock-up,Calculations,Certificates,O&amp;M / Closeout"</formula1>
    </dataValidation>
  </dataValidations>
  <hyperlinks>
    <hyperlink ref="A44" r:id="rId1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buildworkpro.com/templates&amp;C&amp;8&amp;K8B93A1Transmittal&amp;R&amp;8&amp;K8B93A1Page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62</v>
      </c>
    </row>
    <row r="2" ht="6" customHeight="1" spans="1:2" x14ac:dyDescent="0.25">
      <c r="A2" s="4"/>
      <c r="B2" s="4"/>
    </row>
    <row r="4" ht="45" customHeight="1" spans="1:2" x14ac:dyDescent="0.25">
      <c r="A4" s="39" t="s">
        <v>63</v>
      </c>
      <c r="B4" s="40" t="s">
        <v>64</v>
      </c>
    </row>
    <row r="5" ht="45" customHeight="1" spans="1:2" x14ac:dyDescent="0.25">
      <c r="A5" s="39" t="s">
        <v>65</v>
      </c>
      <c r="B5" s="40" t="s">
        <v>66</v>
      </c>
    </row>
    <row r="6" ht="45" customHeight="1" spans="1:2" x14ac:dyDescent="0.25">
      <c r="A6" s="39" t="s">
        <v>67</v>
      </c>
      <c r="B6" s="40" t="s">
        <v>68</v>
      </c>
    </row>
    <row r="7" ht="45" customHeight="1" spans="1:2" x14ac:dyDescent="0.25">
      <c r="A7" s="39" t="s">
        <v>69</v>
      </c>
      <c r="B7" s="40" t="s">
        <v>70</v>
      </c>
    </row>
    <row r="8" ht="45" customHeight="1" spans="1:2" x14ac:dyDescent="0.25">
      <c r="A8" s="39" t="s">
        <v>71</v>
      </c>
      <c r="B8" s="40" t="s">
        <v>72</v>
      </c>
    </row>
    <row r="9" ht="30" customHeight="1" spans="1:2" x14ac:dyDescent="0.25">
      <c r="A9" s="39" t="s">
        <v>73</v>
      </c>
      <c r="B9" s="40" t="s">
        <v>74</v>
      </c>
    </row>
    <row r="11" spans="2:2" x14ac:dyDescent="0.25">
      <c r="B11" s="31" t="s">
        <v>75</v>
      </c>
    </row>
    <row r="12" ht="30" customHeight="1" spans="1:2" x14ac:dyDescent="0.25">
      <c r="A12" s="41" t="s">
        <v>76</v>
      </c>
      <c r="B12" s="42" t="s">
        <v>77</v>
      </c>
    </row>
    <row r="13" ht="30" customHeight="1" spans="1:2" x14ac:dyDescent="0.25">
      <c r="A13" s="41" t="s">
        <v>76</v>
      </c>
      <c r="B13" s="42" t="s">
        <v>78</v>
      </c>
    </row>
    <row r="14" ht="30" customHeight="1" spans="1:2" x14ac:dyDescent="0.25">
      <c r="A14" s="41" t="s">
        <v>76</v>
      </c>
      <c r="B14" s="42" t="s">
        <v>79</v>
      </c>
    </row>
    <row r="15" ht="30" customHeight="1" spans="1:2" x14ac:dyDescent="0.25">
      <c r="A15" s="41" t="s">
        <v>76</v>
      </c>
      <c r="B15" s="42" t="s">
        <v>80</v>
      </c>
    </row>
    <row r="17" ht="44" customHeight="1" spans="1:2" x14ac:dyDescent="0.25">
      <c r="A17" s="29" t="s">
        <v>81</v>
      </c>
      <c r="B17" s="29"/>
    </row>
    <row r="18" spans="2:2" x14ac:dyDescent="0.25">
      <c r="B18" s="43" t="s">
        <v>82</v>
      </c>
    </row>
    <row r="20" ht="78" customHeight="1" spans="1:2" x14ac:dyDescent="0.25">
      <c r="A20" s="30" t="s">
        <v>83</v>
      </c>
      <c r="B20" s="30"/>
    </row>
  </sheetData>
  <mergeCells count="2">
    <mergeCell ref="A17:B17"/>
    <mergeCell ref="A20:B20"/>
  </mergeCells>
  <hyperlinks>
    <hyperlink ref="B18" r:id="rId1"/>
    <hyperlink ref="A20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Submittal Log</vt:lpstr>
      <vt:lpstr>Transmittal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Submittal Log Template</dc:title>
  <dc:subject>Submittal Log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