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hedule of Values" state="visible" r:id="rId4"/>
    <sheet sheetId="2" name="Billing Tracker" state="visible" r:id="rId5"/>
    <sheet sheetId="3" name="How to Use" state="visible" r:id="rId6"/>
  </sheets>
  <definedNames>
    <definedName name="_xlnm.Print_Area" localSheetId="0">'Schedule of Values'!$A1:$E57</definedName>
    <definedName name="_xlnm.Print_Area" localSheetId="1">'Billing Tracker'!$A1:$J48</definedName>
    <definedName name="_xlnm.Print_Titles" localSheetId="1">'Billing Tracker'!$7:$7</definedName>
  </definedNames>
  <calcPr calcId="171027" fullCalcOnLoad="1"/>
</workbook>
</file>

<file path=xl/sharedStrings.xml><?xml version="1.0" encoding="utf-8"?>
<sst xmlns="http://schemas.openxmlformats.org/spreadsheetml/2006/main" count="84" uniqueCount="72">
  <si>
    <t>Schedule of Values</t>
  </si>
  <si>
    <t>Print: fits one page</t>
  </si>
  <si>
    <t>Break the contract sum into the line items you will bill against every period. The tie-out row at the bottom must read 0.00.</t>
  </si>
  <si>
    <t>Amber cells are yours to fill in. Everything else calculates.</t>
  </si>
  <si>
    <t>PROJECT</t>
  </si>
  <si>
    <t>CONTRACT</t>
  </si>
  <si>
    <t>Project name</t>
  </si>
  <si>
    <t>Contract date</t>
  </si>
  <si>
    <t>Project no.</t>
  </si>
  <si>
    <t>Original contract sum</t>
  </si>
  <si>
    <t>Site address</t>
  </si>
  <si>
    <t>Net approved change orders</t>
  </si>
  <si>
    <t>Contractor</t>
  </si>
  <si>
    <t>Contract sum to date</t>
  </si>
  <si>
    <t>To (owner / GC)</t>
  </si>
  <si>
    <t>Revision / date</t>
  </si>
  <si>
    <t>ITEM NO.</t>
  </si>
  <si>
    <t>DESCRIPTION OF WORK</t>
  </si>
  <si>
    <t>SCHEDULED VALUE</t>
  </si>
  <si>
    <t>% OF CONTRACT</t>
  </si>
  <si>
    <t>NOTES / BASIS</t>
  </si>
  <si>
    <t/>
  </si>
  <si>
    <t>Total scheduled value</t>
  </si>
  <si>
    <t>Tie-out: total scheduled value − contract sum to date (must be 0.00)</t>
  </si>
  <si>
    <t>Add approved change orders as new lines with the CO number as the item number and update the net approved change orders cell above, so the schedule always ties to the contract sum your pay applications bill against.</t>
  </si>
  <si>
    <t>PREPARED BY (CONTRACTOR)</t>
  </si>
  <si>
    <t>ACCEPTED BY (OWNER / GC)</t>
  </si>
  <si>
    <t>SIGNATURE</t>
  </si>
  <si>
    <t>PRINTED NAME / TITLE</t>
  </si>
  <si>
    <t>DATE</t>
  </si>
  <si>
    <t>Free template by BuildWorkPro — buildworkpro.com/templates. Match the lines to how the work phases and keep every value defensible on a walkthrough. Not an AIA document.</t>
  </si>
  <si>
    <t>Billing Tracker</t>
  </si>
  <si>
    <t>Print: landscape, one page wide</t>
  </si>
  <si>
    <t>The continuation-sheet math for every line. Item numbers, descriptions and scheduled values pull from the Schedule of Values sheet; enter previous, this period and stored per line.</t>
  </si>
  <si>
    <t>Application no.</t>
  </si>
  <si>
    <t>Period to</t>
  </si>
  <si>
    <t>Retainage rate</t>
  </si>
  <si>
    <t>PREVIOUS APPLICATIONS</t>
  </si>
  <si>
    <t>THIS PERIOD</t>
  </si>
  <si>
    <t>MATERIALS STORED</t>
  </si>
  <si>
    <t>TOTAL COMPLETED &amp; STORED TO DATE</t>
  </si>
  <si>
    <t>% COMPLETE</t>
  </si>
  <si>
    <t>BALANCE TO FINISH</t>
  </si>
  <si>
    <t>RETAINAGE (RATE × TOTAL)</t>
  </si>
  <si>
    <t>Grand total</t>
  </si>
  <si>
    <t>THIS PERIOD AT A GLANCE</t>
  </si>
  <si>
    <t>Work completed and stored this period (E + F)</t>
  </si>
  <si>
    <t>Less retainage on this period</t>
  </si>
  <si>
    <t>Bill this period, net of retainage</t>
  </si>
  <si>
    <t>Total earned less retainage to date (G − retainage)</t>
  </si>
  <si>
    <t>Roll forward each period: once the application is approved, add This Period into Previous Applications as a value and clear This Period. Stored material that has since been installed leaves Materials Stored and is billed in This Period. The grand total row is what goes on the pay application's lines 4 and 5.</t>
  </si>
  <si>
    <t>Free template by BuildWorkPro — buildworkpro.com/templates. Pair with the free pay application template for the application and certificate page.</t>
  </si>
  <si>
    <t>How to use the Schedule of Values Template</t>
  </si>
  <si>
    <t>1.</t>
  </si>
  <si>
    <t>Fill in the project header and enter the original contract sum and the net of approved change orders — the contract sum to date is the number every line is measured against.</t>
  </si>
  <si>
    <t>2.</t>
  </si>
  <si>
    <t>List one row per line item on the Schedule of Values sheet: item number, description, scheduled value. Match the lines to how the work phases (mobilization, underground, rough-in by system, equipment, finishes, closeout).</t>
  </si>
  <si>
    <t>3.</t>
  </si>
  <si>
    <t>Watch the % of contract column and the tie-out row. The total must equal the contract sum to date; the tie-out turns red until it does.</t>
  </si>
  <si>
    <t>4.</t>
  </si>
  <si>
    <t>When a change order is approved, add it as a new line with the CO number as the item number and update the net approved change orders cell. The schedule keeps tying out.</t>
  </si>
  <si>
    <t>5.</t>
  </si>
  <si>
    <t>Each billing period, open the Billing Tracker and enter previous applications, this period and materials stored per line. Total, % complete, balance to finish and retainage compute; the grand total is what goes on your pay application.</t>
  </si>
  <si>
    <t>TIPS FROM THE FIELD</t>
  </si>
  <si>
    <t>•</t>
  </si>
  <si>
    <t>Keep every value defensible: you should be able to walk the GC through the site and show why a line is 60% complete.</t>
  </si>
  <si>
    <t>Front-load carefully. Weighting mobilization and general conditions is common; an obviously inflated early line invites a rejected application.</t>
  </si>
  <si>
    <t>Split labor and material on big-ticket lines when the GC allows it — stored material can then be billed before it is installed.</t>
  </si>
  <si>
    <t>Do not make closeout lines too small to bother billing. That is how retainage release stalls.</t>
  </si>
  <si>
    <t>In BuildWorkPro the schedule of values is seeded from your accepted bid and approved change orders, stays tied to the contract sum, and carries forward into every pay application automatically.</t>
  </si>
  <si>
    <t>https://buildworkpro.com/features/pay-applications/</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</si>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</sst>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mmm d, yyyy"/>
    <numFmt numFmtId="165" formatCode="&quot;$&quot;#,##0.00;[Red]-&quot;$&quot;#,##0.00"/>
    <numFmt numFmtId="166" formatCode="&quot;$&quot;#,##0.00;[Red]-&quot;$&quot;#,##0.00;&quot;&quot;"/>
    <numFmt numFmtId="167" formatCode="0.00%;-0.00%;&quot;&quot;"/>
    <numFmt numFmtId="168" formatCode="0.0%"/>
    <numFmt numFmtId="169" formatCode="0.0%;-0.0%;&quot;&quot;"/>
  </numFmts>
  <fonts count="16" x14ac:knownFonts="1">
    <font>
      <color theme="1"/>
      <family val="2"/>
      <scheme val="minor"/>
      <sz val="11"/>
      <name val="Calibri"/>
    </font>
    <font>
      <b/>
      <color rgb="FF1B1F24"/>
      <sz val="20"/>
      <name val="Calibri"/>
    </font>
    <font>
      <color rgb="FF4A5260"/>
      <sz val="10"/>
      <name val="Calibri"/>
    </font>
    <font>
      <i/>
      <color rgb="FF4A5260"/>
      <sz val="9"/>
      <name val="Calibri"/>
    </font>
    <font>
      <color rgb="FF1B1F24"/>
      <sz val="10"/>
      <name val="Calibri"/>
    </font>
    <font>
      <i/>
      <color rgb="FF4A5260"/>
      <sz val="8.5"/>
      <name val="Calibri"/>
    </font>
    <font>
      <b/>
      <color rgb="FF8B93A1"/>
      <sz val="7.5"/>
      <name val="Calibri"/>
    </font>
    <font>
      <color rgb="FF4A5260"/>
      <sz val="9"/>
      <name val="Calibri"/>
    </font>
    <font>
      <b/>
      <color rgb="FF1B1F24"/>
      <sz val="10"/>
      <name val="Calibri"/>
    </font>
    <font>
      <b/>
      <color rgb="FF4A5260"/>
      <sz val="7.5"/>
      <name val="Calibri"/>
    </font>
    <font>
      <b/>
      <color rgb="FF4A5260"/>
      <sz val="8"/>
      <name val="Calibri"/>
    </font>
    <font>
      <color rgb="FF8B93A1"/>
      <sz val="7"/>
      <name val="Calibri"/>
    </font>
    <font>
      <color rgb="FF8B93A1"/>
      <sz val="8"/>
      <name val="Calibri"/>
    </font>
    <font>
      <b/>
      <color rgb="FF1B1F24"/>
      <sz val="9"/>
      <name val="Calibri"/>
    </font>
    <font>
      <b/>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8">
    <border>
      <left/>
      <right/>
      <top/>
      <bottom/>
      <diagonal/>
    </border>
    <border>
      <left/>
      <right/>
      <top/>
      <bottom style="medium">
        <color rgb="FF2563EB"/>
      </bottom>
      <diagonal/>
    </border>
    <border>
      <left/>
      <right/>
      <top/>
      <bottom style="thin">
        <color rgb="FF8B93A1"/>
      </bottom>
      <diagonal/>
    </border>
    <border>
      <left/>
      <right/>
      <top style="thin">
        <color rgb="FFD7DCE3"/>
      </top>
      <bottom style="thin">
        <color rgb="FF4A5260"/>
      </bottom>
      <diagonal/>
    </border>
    <border>
      <left/>
      <right/>
      <top/>
      <bottom style="thin">
        <color rgb="FFD7DCE3"/>
      </bottom>
      <diagonal/>
    </border>
    <border>
      <left/>
      <right/>
      <top style="medium">
        <color rgb="FF1B1F24"/>
      </top>
      <bottom style="thin">
        <color rgb="FFD7DCE3"/>
      </bottom>
      <diagonal/>
    </border>
    <border>
      <left style="medium">
        <color rgb="FF2563EB"/>
      </left>
      <right/>
      <top/>
      <bottom/>
      <diagonal/>
    </border>
    <border>
      <left/>
      <right/>
      <top/>
      <bottom style="thin">
        <color rgb="FF1B1F24"/>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xf numFmtId="0" fontId="0" fillId="0" borderId="1" xfId="0" applyBorder="1"/>
    <xf numFmtId="0" fontId="4" fillId="2" borderId="2" xfId="0" applyFont="1" applyFill="1" applyBorder="1"/>
    <xf numFmtId="0" fontId="5" fillId="0" borderId="0" xfId="0" applyFont="1" applyAlignment="1">
      <alignment vertical="center"/>
    </xf>
    <xf numFmtId="0" fontId="6" fillId="0" borderId="0" xfId="0" applyFont="1"/>
    <xf numFmtId="0" fontId="7" fillId="0" borderId="0" xfId="0" applyFont="1" applyAlignment="1">
      <alignment vertical="center"/>
    </xf>
    <xf numFmtId="0" fontId="4" fillId="2" borderId="2" xfId="0" applyFont="1" applyFill="1" applyBorder="1" applyAlignment="1">
      <alignment horizontal="left" vertical="center"/>
    </xf>
    <xf numFmtId="164" fontId="4" fillId="2" borderId="2" xfId="0" applyNumberFormat="1" applyFont="1" applyFill="1" applyBorder="1" applyAlignment="1">
      <alignment horizontal="left" vertical="center"/>
    </xf>
    <xf numFmtId="165" fontId="4" fillId="2" borderId="2" xfId="0" applyNumberFormat="1" applyFont="1" applyFill="1" applyBorder="1" applyAlignment="1">
      <alignment horizontal="right" vertical="center"/>
    </xf>
    <xf numFmtId="0" fontId="7" fillId="0" borderId="0" xfId="0" applyFont="1" applyAlignment="1">
      <alignment horizontal="left" vertical="top"/>
    </xf>
    <xf numFmtId="165" fontId="8" fillId="0" borderId="0" xfId="0" applyNumberFormat="1" applyFont="1" applyAlignment="1">
      <alignment horizontal="right" vertical="center"/>
    </xf>
    <xf numFmtId="0" fontId="9" fillId="3" borderId="3" xfId="0" applyFont="1" applyFill="1" applyBorder="1" applyAlignment="1">
      <alignment horizontal="center" vertical="bottom" wrapText="1"/>
    </xf>
    <xf numFmtId="0" fontId="9" fillId="3" borderId="3" xfId="0" applyFont="1" applyFill="1" applyBorder="1" applyAlignment="1">
      <alignment horizontal="left" vertical="bottom" wrapText="1"/>
    </xf>
    <xf numFmtId="0" fontId="9" fillId="3" borderId="3" xfId="0" applyFont="1" applyFill="1" applyBorder="1" applyAlignment="1">
      <alignment horizontal="right" vertical="bottom" wrapText="1"/>
    </xf>
    <xf numFmtId="0" fontId="4" fillId="2" borderId="4" xfId="0" applyFont="1" applyFill="1" applyBorder="1" applyAlignment="1">
      <alignment horizontal="center" vertical="center"/>
    </xf>
    <xf numFmtId="0" fontId="4" fillId="2" borderId="4" xfId="0" applyFont="1" applyFill="1" applyBorder="1" applyAlignment="1">
      <alignment horizontal="left" vertical="center" wrapText="1"/>
    </xf>
    <xf numFmtId="166" fontId="4" fillId="2" borderId="4" xfId="0" applyNumberFormat="1" applyFont="1" applyFill="1" applyBorder="1" applyAlignment="1">
      <alignment horizontal="right" vertical="center"/>
    </xf>
    <xf numFmtId="167" fontId="4" fillId="0" borderId="4" xfId="0" applyNumberFormat="1" applyFont="1" applyBorder="1" applyAlignment="1">
      <alignment horizontal="right" vertical="center"/>
    </xf>
    <xf numFmtId="0" fontId="8" fillId="0" borderId="5" xfId="0" applyFont="1" applyBorder="1" applyAlignment="1">
      <alignment horizontal="left" vertical="center"/>
    </xf>
    <xf numFmtId="165" fontId="8" fillId="0" borderId="5" xfId="0" applyNumberFormat="1" applyFont="1" applyBorder="1" applyAlignment="1">
      <alignment horizontal="right" vertical="center"/>
    </xf>
    <xf numFmtId="167" fontId="8" fillId="0" borderId="5" xfId="0" applyNumberFormat="1" applyFont="1" applyBorder="1" applyAlignment="1">
      <alignment horizontal="right" vertical="center"/>
    </xf>
    <xf numFmtId="0" fontId="7" fillId="0" borderId="0" xfId="0" applyFont="1" applyAlignment="1">
      <alignment horizontal="right" vertical="top"/>
    </xf>
    <xf numFmtId="0" fontId="7" fillId="3" borderId="6" xfId="0" applyFont="1" applyFill="1" applyBorder="1" applyAlignment="1">
      <alignment vertical="center" wrapText="1" indent="1"/>
    </xf>
    <xf numFmtId="0" fontId="10" fillId="0" borderId="0" xfId="0" applyFont="1"/>
    <xf numFmtId="0" fontId="4" fillId="0" borderId="7" xfId="0" applyFont="1" applyBorder="1"/>
    <xf numFmtId="0" fontId="11" fillId="0" borderId="0" xfId="0" applyFont="1"/>
    <xf numFmtId="0" fontId="12" fillId="0" borderId="0" xfId="0" applyFont="1" applyAlignment="1">
      <alignment vertical="top" wrapText="1"/>
    </xf>
    <xf numFmtId="168" fontId="4" fillId="2" borderId="2" xfId="0" applyNumberFormat="1" applyFont="1" applyFill="1" applyBorder="1" applyAlignment="1">
      <alignment horizontal="right" vertical="center"/>
    </xf>
    <xf numFmtId="165" fontId="4" fillId="0" borderId="0" xfId="0" applyNumberFormat="1" applyFont="1" applyAlignment="1">
      <alignment horizontal="right" vertical="center"/>
    </xf>
    <xf numFmtId="0" fontId="2" fillId="0" borderId="4" xfId="0" applyFont="1" applyBorder="1" applyAlignment="1">
      <alignment horizontal="center" vertical="center"/>
    </xf>
    <xf numFmtId="0" fontId="4" fillId="0" borderId="4" xfId="0" applyFont="1" applyBorder="1" applyAlignment="1">
      <alignment horizontal="left" vertical="center" wrapText="1"/>
    </xf>
    <xf numFmtId="166" fontId="4" fillId="0" borderId="4" xfId="0" applyNumberFormat="1" applyFont="1" applyBorder="1" applyAlignment="1">
      <alignment horizontal="right" vertical="center"/>
    </xf>
    <xf numFmtId="169" fontId="4" fillId="0" borderId="4" xfId="0" applyNumberFormat="1" applyFont="1" applyBorder="1" applyAlignment="1">
      <alignment horizontal="right" vertical="center"/>
    </xf>
    <xf numFmtId="169" fontId="8" fillId="0" borderId="5" xfId="0" applyNumberFormat="1" applyFont="1" applyBorder="1" applyAlignment="1">
      <alignment horizontal="right" vertical="center"/>
    </xf>
    <xf numFmtId="165" fontId="4" fillId="0" borderId="4" xfId="0" applyNumberFormat="1" applyFont="1" applyBorder="1" applyAlignment="1">
      <alignment horizontal="right" vertical="center"/>
    </xf>
    <xf numFmtId="0" fontId="13" fillId="0" borderId="0" xfId="0" applyFont="1" applyAlignment="1">
      <alignment horizontal="left" vertical="top"/>
    </xf>
    <xf numFmtId="0" fontId="14"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horizontal="right" vertical="top"/>
    </xf>
    <xf numFmtId="0" fontId="2" fillId="0" borderId="0" xfId="0" applyFont="1" applyAlignment="1">
      <alignment horizontal="left" vertical="top" wrapText="1"/>
    </xf>
    <xf numFmtId="0" fontId="15" fillId="0" borderId="0" xfId="0" applyFont="1"/>
  </cellXfs>
  <cellStyles count="1">
    <cellStyle name="Normal" xfId="0" builtinId="0"/>
  </cellStyles>
  <dxfs count="1">
    <dxf>
      <font>
        <b/>
        <color rgb="FFB3261E"/>
      </font>
      <fill>
        <patternFill patternType="solid">
          <bgColor rgb="FFFD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ildworkpro.com/features/pay-applications/"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7"/>
  <sheetViews>
    <sheetView workbookViewId="0" showGridLines="0"/>
  </sheetViews>
  <sheetFormatPr defaultRowHeight="15" outlineLevelRow="0" outlineLevelCol="0" x14ac:dyDescent="55"/>
  <cols>
    <col min="1" max="1" width="13" customWidth="1"/>
    <col min="2" max="2" width="42" customWidth="1"/>
    <col min="3" max="3" width="17" customWidth="1"/>
    <col min="4" max="4" width="14" customWidth="1"/>
    <col min="5" max="5" width="30" customWidth="1"/>
  </cols>
  <sheetData>
    <row r="1" ht="30" customHeight="1" spans="1:5" x14ac:dyDescent="0.25">
      <c r="A1" s="1" t="s">
        <v>0</v>
      </c>
      <c r="D1" s="2" t="s">
        <v>1</v>
      </c>
      <c r="E1" s="2"/>
    </row>
    <row r="2" spans="1:1" x14ac:dyDescent="0.25">
      <c r="A2" s="3" t="s">
        <v>2</v>
      </c>
    </row>
    <row r="3" ht="6" customHeight="1" spans="1:5" x14ac:dyDescent="0.25">
      <c r="A3" s="4"/>
      <c r="B3" s="4"/>
      <c r="C3" s="4"/>
      <c r="D3" s="4"/>
      <c r="E3" s="4"/>
    </row>
    <row r="4" spans="1:2" x14ac:dyDescent="0.25">
      <c r="A4" s="5"/>
      <c r="B4" s="6" t="s">
        <v>3</v>
      </c>
    </row>
    <row r="6" spans="1:3" x14ac:dyDescent="0.25">
      <c r="A6" s="7" t="s">
        <v>4</v>
      </c>
      <c r="C6" s="7" t="s">
        <v>5</v>
      </c>
    </row>
    <row r="7" spans="1:5" x14ac:dyDescent="0.25">
      <c r="A7" s="8" t="s">
        <v>6</v>
      </c>
      <c r="B7" s="9"/>
      <c r="C7" s="8" t="s">
        <v>7</v>
      </c>
      <c r="D7" s="8"/>
      <c r="E7" s="10"/>
    </row>
    <row r="8" spans="1:5" x14ac:dyDescent="0.25">
      <c r="A8" s="8" t="s">
        <v>8</v>
      </c>
      <c r="B8" s="9"/>
      <c r="C8" s="8" t="s">
        <v>9</v>
      </c>
      <c r="D8" s="8"/>
      <c r="E8" s="11"/>
    </row>
    <row r="9" spans="1:5" x14ac:dyDescent="0.25">
      <c r="A9" s="8" t="s">
        <v>10</v>
      </c>
      <c r="B9" s="9"/>
      <c r="C9" s="8" t="s">
        <v>11</v>
      </c>
      <c r="D9" s="8"/>
      <c r="E9" s="11"/>
    </row>
    <row r="10" spans="1:5" x14ac:dyDescent="0.25">
      <c r="A10" s="8" t="s">
        <v>12</v>
      </c>
      <c r="B10" s="9"/>
      <c r="C10" s="12" t="s">
        <v>13</v>
      </c>
      <c r="D10" s="12"/>
      <c r="E10" s="13">
        <f>E8+E9</f>
      </c>
    </row>
    <row r="11" spans="1:5" x14ac:dyDescent="0.25">
      <c r="A11" s="8" t="s">
        <v>14</v>
      </c>
      <c r="B11" s="9"/>
      <c r="C11" s="8" t="s">
        <v>15</v>
      </c>
      <c r="D11" s="8"/>
      <c r="E11" s="9"/>
    </row>
    <row r="13" ht="22" customHeight="1" spans="1:5" x14ac:dyDescent="0.25">
      <c r="A13" s="14" t="s">
        <v>16</v>
      </c>
      <c r="B13" s="15" t="s">
        <v>17</v>
      </c>
      <c r="C13" s="16" t="s">
        <v>18</v>
      </c>
      <c r="D13" s="16" t="s">
        <v>19</v>
      </c>
      <c r="E13" s="15" t="s">
        <v>20</v>
      </c>
    </row>
    <row r="14" spans="1:5" x14ac:dyDescent="0.25">
      <c r="A14" s="17"/>
      <c r="B14" s="18"/>
      <c r="C14" s="19"/>
      <c r="D14" s="20">
        <f>IF(OR($C14="",$E$10=0),"",C14/$E$10)</f>
      </c>
      <c r="E14" s="18"/>
    </row>
    <row r="15" spans="1:5" x14ac:dyDescent="0.25">
      <c r="A15" s="17"/>
      <c r="B15" s="18"/>
      <c r="C15" s="19"/>
      <c r="D15" s="20">
        <f>IF(OR($C15="",$E$10=0),"",C15/$E$10)</f>
      </c>
      <c r="E15" s="18"/>
    </row>
    <row r="16" spans="1:5" x14ac:dyDescent="0.25">
      <c r="A16" s="17"/>
      <c r="B16" s="18"/>
      <c r="C16" s="19"/>
      <c r="D16" s="20">
        <f>IF(OR($C16="",$E$10=0),"",C16/$E$10)</f>
      </c>
      <c r="E16" s="18"/>
    </row>
    <row r="17" spans="1:5" x14ac:dyDescent="0.25">
      <c r="A17" s="17"/>
      <c r="B17" s="18"/>
      <c r="C17" s="19"/>
      <c r="D17" s="20">
        <f>IF(OR($C17="",$E$10=0),"",C17/$E$10)</f>
      </c>
      <c r="E17" s="18"/>
    </row>
    <row r="18" spans="1:5" x14ac:dyDescent="0.25">
      <c r="A18" s="17"/>
      <c r="B18" s="18"/>
      <c r="C18" s="19"/>
      <c r="D18" s="20">
        <f>IF(OR($C18="",$E$10=0),"",C18/$E$10)</f>
      </c>
      <c r="E18" s="18"/>
    </row>
    <row r="19" spans="1:5" x14ac:dyDescent="0.25">
      <c r="A19" s="17"/>
      <c r="B19" s="18"/>
      <c r="C19" s="19"/>
      <c r="D19" s="20">
        <f>IF(OR($C19="",$E$10=0),"",C19/$E$10)</f>
      </c>
      <c r="E19" s="18"/>
    </row>
    <row r="20" spans="1:5" x14ac:dyDescent="0.25">
      <c r="A20" s="17"/>
      <c r="B20" s="18"/>
      <c r="C20" s="19"/>
      <c r="D20" s="20">
        <f>IF(OR($C20="",$E$10=0),"",C20/$E$10)</f>
      </c>
      <c r="E20" s="18"/>
    </row>
    <row r="21" spans="1:5" x14ac:dyDescent="0.25">
      <c r="A21" s="17"/>
      <c r="B21" s="18"/>
      <c r="C21" s="19"/>
      <c r="D21" s="20">
        <f>IF(OR($C21="",$E$10=0),"",C21/$E$10)</f>
      </c>
      <c r="E21" s="18"/>
    </row>
    <row r="22" spans="1:5" x14ac:dyDescent="0.25">
      <c r="A22" s="17"/>
      <c r="B22" s="18"/>
      <c r="C22" s="19"/>
      <c r="D22" s="20">
        <f>IF(OR($C22="",$E$10=0),"",C22/$E$10)</f>
      </c>
      <c r="E22" s="18"/>
    </row>
    <row r="23" spans="1:5" x14ac:dyDescent="0.25">
      <c r="A23" s="17"/>
      <c r="B23" s="18"/>
      <c r="C23" s="19"/>
      <c r="D23" s="20">
        <f>IF(OR($C23="",$E$10=0),"",C23/$E$10)</f>
      </c>
      <c r="E23" s="18"/>
    </row>
    <row r="24" spans="1:5" x14ac:dyDescent="0.25">
      <c r="A24" s="17"/>
      <c r="B24" s="18"/>
      <c r="C24" s="19"/>
      <c r="D24" s="20">
        <f>IF(OR($C24="",$E$10=0),"",C24/$E$10)</f>
      </c>
      <c r="E24" s="18"/>
    </row>
    <row r="25" spans="1:5" x14ac:dyDescent="0.25">
      <c r="A25" s="17"/>
      <c r="B25" s="18"/>
      <c r="C25" s="19"/>
      <c r="D25" s="20">
        <f>IF(OR($C25="",$E$10=0),"",C25/$E$10)</f>
      </c>
      <c r="E25" s="18"/>
    </row>
    <row r="26" spans="1:5" x14ac:dyDescent="0.25">
      <c r="A26" s="17"/>
      <c r="B26" s="18"/>
      <c r="C26" s="19"/>
      <c r="D26" s="20">
        <f>IF(OR($C26="",$E$10=0),"",C26/$E$10)</f>
      </c>
      <c r="E26" s="18"/>
    </row>
    <row r="27" spans="1:5" x14ac:dyDescent="0.25">
      <c r="A27" s="17"/>
      <c r="B27" s="18"/>
      <c r="C27" s="19"/>
      <c r="D27" s="20">
        <f>IF(OR($C27="",$E$10=0),"",C27/$E$10)</f>
      </c>
      <c r="E27" s="18"/>
    </row>
    <row r="28" spans="1:5" x14ac:dyDescent="0.25">
      <c r="A28" s="17"/>
      <c r="B28" s="18"/>
      <c r="C28" s="19"/>
      <c r="D28" s="20">
        <f>IF(OR($C28="",$E$10=0),"",C28/$E$10)</f>
      </c>
      <c r="E28" s="18"/>
    </row>
    <row r="29" spans="1:5" x14ac:dyDescent="0.25">
      <c r="A29" s="17"/>
      <c r="B29" s="18"/>
      <c r="C29" s="19"/>
      <c r="D29" s="20">
        <f>IF(OR($C29="",$E$10=0),"",C29/$E$10)</f>
      </c>
      <c r="E29" s="18"/>
    </row>
    <row r="30" spans="1:5" x14ac:dyDescent="0.25">
      <c r="A30" s="17"/>
      <c r="B30" s="18"/>
      <c r="C30" s="19"/>
      <c r="D30" s="20">
        <f>IF(OR($C30="",$E$10=0),"",C30/$E$10)</f>
      </c>
      <c r="E30" s="18"/>
    </row>
    <row r="31" spans="1:5" x14ac:dyDescent="0.25">
      <c r="A31" s="17"/>
      <c r="B31" s="18"/>
      <c r="C31" s="19"/>
      <c r="D31" s="20">
        <f>IF(OR($C31="",$E$10=0),"",C31/$E$10)</f>
      </c>
      <c r="E31" s="18"/>
    </row>
    <row r="32" spans="1:5" x14ac:dyDescent="0.25">
      <c r="A32" s="17"/>
      <c r="B32" s="18"/>
      <c r="C32" s="19"/>
      <c r="D32" s="20">
        <f>IF(OR($C32="",$E$10=0),"",C32/$E$10)</f>
      </c>
      <c r="E32" s="18"/>
    </row>
    <row r="33" spans="1:5" x14ac:dyDescent="0.25">
      <c r="A33" s="17"/>
      <c r="B33" s="18"/>
      <c r="C33" s="19"/>
      <c r="D33" s="20">
        <f>IF(OR($C33="",$E$10=0),"",C33/$E$10)</f>
      </c>
      <c r="E33" s="18"/>
    </row>
    <row r="34" spans="1:5" x14ac:dyDescent="0.25">
      <c r="A34" s="17"/>
      <c r="B34" s="18"/>
      <c r="C34" s="19"/>
      <c r="D34" s="20">
        <f>IF(OR($C34="",$E$10=0),"",C34/$E$10)</f>
      </c>
      <c r="E34" s="18"/>
    </row>
    <row r="35" spans="1:5" x14ac:dyDescent="0.25">
      <c r="A35" s="17"/>
      <c r="B35" s="18"/>
      <c r="C35" s="19"/>
      <c r="D35" s="20">
        <f>IF(OR($C35="",$E$10=0),"",C35/$E$10)</f>
      </c>
      <c r="E35" s="18"/>
    </row>
    <row r="36" spans="1:5" x14ac:dyDescent="0.25">
      <c r="A36" s="17"/>
      <c r="B36" s="18"/>
      <c r="C36" s="19"/>
      <c r="D36" s="20">
        <f>IF(OR($C36="",$E$10=0),"",C36/$E$10)</f>
      </c>
      <c r="E36" s="18"/>
    </row>
    <row r="37" spans="1:5" x14ac:dyDescent="0.25">
      <c r="A37" s="17"/>
      <c r="B37" s="18"/>
      <c r="C37" s="19"/>
      <c r="D37" s="20">
        <f>IF(OR($C37="",$E$10=0),"",C37/$E$10)</f>
      </c>
      <c r="E37" s="18"/>
    </row>
    <row r="38" spans="1:5" x14ac:dyDescent="0.25">
      <c r="A38" s="17"/>
      <c r="B38" s="18"/>
      <c r="C38" s="19"/>
      <c r="D38" s="20">
        <f>IF(OR($C38="",$E$10=0),"",C38/$E$10)</f>
      </c>
      <c r="E38" s="18"/>
    </row>
    <row r="39" spans="1:5" x14ac:dyDescent="0.25">
      <c r="A39" s="17"/>
      <c r="B39" s="18"/>
      <c r="C39" s="19"/>
      <c r="D39" s="20">
        <f>IF(OR($C39="",$E$10=0),"",C39/$E$10)</f>
      </c>
      <c r="E39" s="18"/>
    </row>
    <row r="40" spans="1:5" x14ac:dyDescent="0.25">
      <c r="A40" s="17"/>
      <c r="B40" s="18"/>
      <c r="C40" s="19"/>
      <c r="D40" s="20">
        <f>IF(OR($C40="",$E$10=0),"",C40/$E$10)</f>
      </c>
      <c r="E40" s="18"/>
    </row>
    <row r="41" spans="1:5" x14ac:dyDescent="0.25">
      <c r="A41" s="17"/>
      <c r="B41" s="18"/>
      <c r="C41" s="19"/>
      <c r="D41" s="20">
        <f>IF(OR($C41="",$E$10=0),"",C41/$E$10)</f>
      </c>
      <c r="E41" s="18"/>
    </row>
    <row r="42" spans="1:5" x14ac:dyDescent="0.25">
      <c r="A42" s="17"/>
      <c r="B42" s="18"/>
      <c r="C42" s="19"/>
      <c r="D42" s="20">
        <f>IF(OR($C42="",$E$10=0),"",C42/$E$10)</f>
      </c>
      <c r="E42" s="18"/>
    </row>
    <row r="43" spans="1:5" x14ac:dyDescent="0.25">
      <c r="A43" s="17"/>
      <c r="B43" s="18"/>
      <c r="C43" s="19"/>
      <c r="D43" s="20">
        <f>IF(OR($C43="",$E$10=0),"",C43/$E$10)</f>
      </c>
      <c r="E43" s="18"/>
    </row>
    <row r="44" ht="22" customHeight="1" spans="1:5" x14ac:dyDescent="0.25">
      <c r="A44" s="21" t="s">
        <v>21</v>
      </c>
      <c r="B44" s="21" t="s">
        <v>22</v>
      </c>
      <c r="C44" s="22">
        <f>SUM(C14:C43)</f>
      </c>
      <c r="D44" s="23">
        <f>IF($E$10=0,"",C44/$E$10)</f>
      </c>
      <c r="E44" s="21"/>
    </row>
    <row r="45" spans="2:3" x14ac:dyDescent="0.25">
      <c r="B45" s="24" t="s">
        <v>23</v>
      </c>
      <c r="C45" s="13">
        <f>C44-$E$10</f>
      </c>
    </row>
    <row r="47" ht="34" customHeight="1" spans="1:5" x14ac:dyDescent="0.25">
      <c r="A47" s="25" t="s">
        <v>24</v>
      </c>
      <c r="B47" s="25"/>
      <c r="C47" s="25"/>
      <c r="D47" s="25"/>
      <c r="E47" s="25"/>
    </row>
    <row r="49" spans="1:4" x14ac:dyDescent="0.25">
      <c r="A49" s="26" t="s">
        <v>25</v>
      </c>
      <c r="D49" s="26" t="s">
        <v>26</v>
      </c>
    </row>
    <row r="51" ht="22" customHeight="1" spans="1:5" x14ac:dyDescent="0.25">
      <c r="A51" s="27"/>
      <c r="B51" s="27"/>
      <c r="D51" s="27"/>
      <c r="E51" s="27"/>
    </row>
    <row r="52" spans="1:4" x14ac:dyDescent="0.25">
      <c r="A52" s="28" t="s">
        <v>27</v>
      </c>
      <c r="D52" s="28" t="s">
        <v>27</v>
      </c>
    </row>
    <row r="53" ht="22" customHeight="1" spans="1:5" x14ac:dyDescent="0.25">
      <c r="A53" s="27"/>
      <c r="B53" s="27"/>
      <c r="D53" s="27"/>
      <c r="E53" s="27"/>
    </row>
    <row r="54" spans="1:4" x14ac:dyDescent="0.25">
      <c r="A54" s="28" t="s">
        <v>28</v>
      </c>
      <c r="D54" s="28" t="s">
        <v>28</v>
      </c>
    </row>
    <row r="55" ht="22" customHeight="1" spans="1:5" x14ac:dyDescent="0.25">
      <c r="A55" s="27"/>
      <c r="B55" s="27"/>
      <c r="D55" s="27"/>
      <c r="E55" s="27"/>
    </row>
    <row r="56" spans="1:4" x14ac:dyDescent="0.25">
      <c r="A56" s="28" t="s">
        <v>29</v>
      </c>
      <c r="D56" s="28" t="s">
        <v>29</v>
      </c>
    </row>
    <row r="57" ht="39" customHeight="1" spans="1:5" x14ac:dyDescent="0.25">
      <c r="A57" s="29" t="s">
        <v>30</v>
      </c>
      <c r="B57" s="29"/>
      <c r="C57" s="29"/>
      <c r="D57" s="29"/>
      <c r="E57" s="29"/>
    </row>
  </sheetData>
  <mergeCells count="14">
    <mergeCell ref="D1:E1"/>
    <mergeCell ref="C7:D7"/>
    <mergeCell ref="C8:D8"/>
    <mergeCell ref="C9:D9"/>
    <mergeCell ref="C10:D10"/>
    <mergeCell ref="C11:D11"/>
    <mergeCell ref="A47:E47"/>
    <mergeCell ref="A51:B51"/>
    <mergeCell ref="D51:E51"/>
    <mergeCell ref="A53:B53"/>
    <mergeCell ref="D53:E53"/>
    <mergeCell ref="A55:B55"/>
    <mergeCell ref="D55:E55"/>
    <mergeCell ref="A57:E57"/>
  </mergeCells>
  <conditionalFormatting sqref="C45">
    <cfRule type="cellIs" dxfId="0" priority="1" operator="notEqual">
      <formula>0</formula>
    </cfRule>
  </conditionalFormatting>
  <hyperlinks>
    <hyperlink ref="A57" r:id="rId1"/>
  </hyperlinks>
  <printOptions horizontalCentered="1"/>
  <pageMargins left="0.5" right="0.5" top="0.6" bottom="0.6" header="0.3" footer="0.3"/>
  <pageSetup paperSize="1" orientation="portrait" horizontalDpi="4294967295" verticalDpi="4294967295" scale="100" fitToWidth="1" fitToHeight="1"/>
  <headerFooter>
    <oddFooter>&amp;L&amp;8&amp;K8B93A1Free template by BuildWorkPro · buildworkpro.com/templates&amp;C&amp;8&amp;K8B93A1Schedule of Values&amp;R&amp;8&amp;K8B93A1Page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8"/>
  <sheetViews>
    <sheetView workbookViewId="0" showGridLines="0">
      <pane ySplit="7" topLeftCell="A8" activePane="bottomLeft" state="frozen"/>
      <selection pane="bottomLeft"/>
    </sheetView>
  </sheetViews>
  <sheetFormatPr defaultRowHeight="15" outlineLevelRow="0" outlineLevelCol="0" x14ac:dyDescent="55"/>
  <cols>
    <col min="2" max="2" width="40" customWidth="1"/>
    <col min="3" max="6" width="14" customWidth="1"/>
    <col min="7" max="7" width="15" customWidth="1"/>
    <col min="9" max="9" width="14" customWidth="1"/>
    <col min="10" max="10" width="13" customWidth="1"/>
  </cols>
  <sheetData>
    <row r="1" ht="30" customHeight="1" spans="1:10" x14ac:dyDescent="0.25">
      <c r="A1" s="1" t="s">
        <v>31</v>
      </c>
      <c r="H1" s="2" t="s">
        <v>32</v>
      </c>
      <c r="I1" s="2"/>
      <c r="J1" s="2"/>
    </row>
    <row r="2" spans="1:1" x14ac:dyDescent="0.25">
      <c r="A2" s="3" t="s">
        <v>33</v>
      </c>
    </row>
    <row r="3" ht="6" customHeight="1" spans="1:10" x14ac:dyDescent="0.25">
      <c r="A3" s="4"/>
      <c r="B3" s="4"/>
      <c r="C3" s="4"/>
      <c r="D3" s="4"/>
      <c r="E3" s="4"/>
      <c r="F3" s="4"/>
      <c r="G3" s="4"/>
      <c r="H3" s="4"/>
      <c r="I3" s="4"/>
      <c r="J3" s="4"/>
    </row>
    <row r="4" spans="1:10" x14ac:dyDescent="0.25">
      <c r="A4" s="5"/>
      <c r="B4" s="6" t="s">
        <v>3</v>
      </c>
      <c r="F4" s="8" t="s">
        <v>34</v>
      </c>
      <c r="G4" s="9"/>
      <c r="I4" s="8" t="s">
        <v>35</v>
      </c>
      <c r="J4" s="10"/>
    </row>
    <row r="5" spans="6:10" x14ac:dyDescent="0.25">
      <c r="F5" s="8" t="s">
        <v>36</v>
      </c>
      <c r="G5" s="30">
        <v>0.1</v>
      </c>
      <c r="I5" s="12" t="s">
        <v>13</v>
      </c>
      <c r="J5" s="31">
        <f>'Schedule of Values'!$E$10</f>
      </c>
    </row>
    <row r="7" ht="40" customHeight="1" spans="1:10" x14ac:dyDescent="0.25">
      <c r="A7" s="14" t="s">
        <v>16</v>
      </c>
      <c r="B7" s="15" t="s">
        <v>17</v>
      </c>
      <c r="C7" s="16" t="s">
        <v>18</v>
      </c>
      <c r="D7" s="16" t="s">
        <v>37</v>
      </c>
      <c r="E7" s="16" t="s">
        <v>38</v>
      </c>
      <c r="F7" s="16" t="s">
        <v>39</v>
      </c>
      <c r="G7" s="16" t="s">
        <v>40</v>
      </c>
      <c r="H7" s="16" t="s">
        <v>41</v>
      </c>
      <c r="I7" s="16" t="s">
        <v>42</v>
      </c>
      <c r="J7" s="16" t="s">
        <v>43</v>
      </c>
    </row>
    <row r="8" spans="1:10" x14ac:dyDescent="0.25">
      <c r="A8" s="32">
        <f>IF('Schedule of Values'!A14="","",'Schedule of Values'!A14)</f>
      </c>
      <c r="B8" s="33">
        <f>IF('Schedule of Values'!B14="","",'Schedule of Values'!B14)</f>
      </c>
      <c r="C8" s="34">
        <f>IF('Schedule of Values'!C14="","",'Schedule of Values'!C14)</f>
      </c>
      <c r="D8" s="19"/>
      <c r="E8" s="19"/>
      <c r="F8" s="19"/>
      <c r="G8" s="34">
        <f>IF($C8="","",D8+E8+F8)</f>
      </c>
      <c r="H8" s="35">
        <f>IF(OR($C8="",$C8=0),"",G8/C8)</f>
      </c>
      <c r="I8" s="34">
        <f>IF($C8="","",C8-G8)</f>
      </c>
      <c r="J8" s="34">
        <f>IF($C8="","",ROUND(G8*$G$5,2))</f>
      </c>
    </row>
    <row r="9" spans="1:10" x14ac:dyDescent="0.25">
      <c r="A9" s="32">
        <f>IF('Schedule of Values'!A15="","",'Schedule of Values'!A15)</f>
      </c>
      <c r="B9" s="33">
        <f>IF('Schedule of Values'!B15="","",'Schedule of Values'!B15)</f>
      </c>
      <c r="C9" s="34">
        <f>IF('Schedule of Values'!C15="","",'Schedule of Values'!C15)</f>
      </c>
      <c r="D9" s="19"/>
      <c r="E9" s="19"/>
      <c r="F9" s="19"/>
      <c r="G9" s="34">
        <f>IF($C9="","",D9+E9+F9)</f>
      </c>
      <c r="H9" s="35">
        <f>IF(OR($C9="",$C9=0),"",G9/C9)</f>
      </c>
      <c r="I9" s="34">
        <f>IF($C9="","",C9-G9)</f>
      </c>
      <c r="J9" s="34">
        <f>IF($C9="","",ROUND(G9*$G$5,2))</f>
      </c>
    </row>
    <row r="10" spans="1:10" x14ac:dyDescent="0.25">
      <c r="A10" s="32">
        <f>IF('Schedule of Values'!A16="","",'Schedule of Values'!A16)</f>
      </c>
      <c r="B10" s="33">
        <f>IF('Schedule of Values'!B16="","",'Schedule of Values'!B16)</f>
      </c>
      <c r="C10" s="34">
        <f>IF('Schedule of Values'!C16="","",'Schedule of Values'!C16)</f>
      </c>
      <c r="D10" s="19"/>
      <c r="E10" s="19"/>
      <c r="F10" s="19"/>
      <c r="G10" s="34">
        <f>IF($C10="","",D10+E10+F10)</f>
      </c>
      <c r="H10" s="35">
        <f>IF(OR($C10="",$C10=0),"",G10/C10)</f>
      </c>
      <c r="I10" s="34">
        <f>IF($C10="","",C10-G10)</f>
      </c>
      <c r="J10" s="34">
        <f>IF($C10="","",ROUND(G10*$G$5,2))</f>
      </c>
    </row>
    <row r="11" spans="1:10" x14ac:dyDescent="0.25">
      <c r="A11" s="32">
        <f>IF('Schedule of Values'!A17="","",'Schedule of Values'!A17)</f>
      </c>
      <c r="B11" s="33">
        <f>IF('Schedule of Values'!B17="","",'Schedule of Values'!B17)</f>
      </c>
      <c r="C11" s="34">
        <f>IF('Schedule of Values'!C17="","",'Schedule of Values'!C17)</f>
      </c>
      <c r="D11" s="19"/>
      <c r="E11" s="19"/>
      <c r="F11" s="19"/>
      <c r="G11" s="34">
        <f>IF($C11="","",D11+E11+F11)</f>
      </c>
      <c r="H11" s="35">
        <f>IF(OR($C11="",$C11=0),"",G11/C11)</f>
      </c>
      <c r="I11" s="34">
        <f>IF($C11="","",C11-G11)</f>
      </c>
      <c r="J11" s="34">
        <f>IF($C11="","",ROUND(G11*$G$5,2))</f>
      </c>
    </row>
    <row r="12" spans="1:10" x14ac:dyDescent="0.25">
      <c r="A12" s="32">
        <f>IF('Schedule of Values'!A18="","",'Schedule of Values'!A18)</f>
      </c>
      <c r="B12" s="33">
        <f>IF('Schedule of Values'!B18="","",'Schedule of Values'!B18)</f>
      </c>
      <c r="C12" s="34">
        <f>IF('Schedule of Values'!C18="","",'Schedule of Values'!C18)</f>
      </c>
      <c r="D12" s="19"/>
      <c r="E12" s="19"/>
      <c r="F12" s="19"/>
      <c r="G12" s="34">
        <f>IF($C12="","",D12+E12+F12)</f>
      </c>
      <c r="H12" s="35">
        <f>IF(OR($C12="",$C12=0),"",G12/C12)</f>
      </c>
      <c r="I12" s="34">
        <f>IF($C12="","",C12-G12)</f>
      </c>
      <c r="J12" s="34">
        <f>IF($C12="","",ROUND(G12*$G$5,2))</f>
      </c>
    </row>
    <row r="13" spans="1:10" x14ac:dyDescent="0.25">
      <c r="A13" s="32">
        <f>IF('Schedule of Values'!A19="","",'Schedule of Values'!A19)</f>
      </c>
      <c r="B13" s="33">
        <f>IF('Schedule of Values'!B19="","",'Schedule of Values'!B19)</f>
      </c>
      <c r="C13" s="34">
        <f>IF('Schedule of Values'!C19="","",'Schedule of Values'!C19)</f>
      </c>
      <c r="D13" s="19"/>
      <c r="E13" s="19"/>
      <c r="F13" s="19"/>
      <c r="G13" s="34">
        <f>IF($C13="","",D13+E13+F13)</f>
      </c>
      <c r="H13" s="35">
        <f>IF(OR($C13="",$C13=0),"",G13/C13)</f>
      </c>
      <c r="I13" s="34">
        <f>IF($C13="","",C13-G13)</f>
      </c>
      <c r="J13" s="34">
        <f>IF($C13="","",ROUND(G13*$G$5,2))</f>
      </c>
    </row>
    <row r="14" spans="1:10" x14ac:dyDescent="0.25">
      <c r="A14" s="32">
        <f>IF('Schedule of Values'!A20="","",'Schedule of Values'!A20)</f>
      </c>
      <c r="B14" s="33">
        <f>IF('Schedule of Values'!B20="","",'Schedule of Values'!B20)</f>
      </c>
      <c r="C14" s="34">
        <f>IF('Schedule of Values'!C20="","",'Schedule of Values'!C20)</f>
      </c>
      <c r="D14" s="19"/>
      <c r="E14" s="19"/>
      <c r="F14" s="19"/>
      <c r="G14" s="34">
        <f>IF($C14="","",D14+E14+F14)</f>
      </c>
      <c r="H14" s="35">
        <f>IF(OR($C14="",$C14=0),"",G14/C14)</f>
      </c>
      <c r="I14" s="34">
        <f>IF($C14="","",C14-G14)</f>
      </c>
      <c r="J14" s="34">
        <f>IF($C14="","",ROUND(G14*$G$5,2))</f>
      </c>
    </row>
    <row r="15" spans="1:10" x14ac:dyDescent="0.25">
      <c r="A15" s="32">
        <f>IF('Schedule of Values'!A21="","",'Schedule of Values'!A21)</f>
      </c>
      <c r="B15" s="33">
        <f>IF('Schedule of Values'!B21="","",'Schedule of Values'!B21)</f>
      </c>
      <c r="C15" s="34">
        <f>IF('Schedule of Values'!C21="","",'Schedule of Values'!C21)</f>
      </c>
      <c r="D15" s="19"/>
      <c r="E15" s="19"/>
      <c r="F15" s="19"/>
      <c r="G15" s="34">
        <f>IF($C15="","",D15+E15+F15)</f>
      </c>
      <c r="H15" s="35">
        <f>IF(OR($C15="",$C15=0),"",G15/C15)</f>
      </c>
      <c r="I15" s="34">
        <f>IF($C15="","",C15-G15)</f>
      </c>
      <c r="J15" s="34">
        <f>IF($C15="","",ROUND(G15*$G$5,2))</f>
      </c>
    </row>
    <row r="16" spans="1:10" x14ac:dyDescent="0.25">
      <c r="A16" s="32">
        <f>IF('Schedule of Values'!A22="","",'Schedule of Values'!A22)</f>
      </c>
      <c r="B16" s="33">
        <f>IF('Schedule of Values'!B22="","",'Schedule of Values'!B22)</f>
      </c>
      <c r="C16" s="34">
        <f>IF('Schedule of Values'!C22="","",'Schedule of Values'!C22)</f>
      </c>
      <c r="D16" s="19"/>
      <c r="E16" s="19"/>
      <c r="F16" s="19"/>
      <c r="G16" s="34">
        <f>IF($C16="","",D16+E16+F16)</f>
      </c>
      <c r="H16" s="35">
        <f>IF(OR($C16="",$C16=0),"",G16/C16)</f>
      </c>
      <c r="I16" s="34">
        <f>IF($C16="","",C16-G16)</f>
      </c>
      <c r="J16" s="34">
        <f>IF($C16="","",ROUND(G16*$G$5,2))</f>
      </c>
    </row>
    <row r="17" spans="1:10" x14ac:dyDescent="0.25">
      <c r="A17" s="32">
        <f>IF('Schedule of Values'!A23="","",'Schedule of Values'!A23)</f>
      </c>
      <c r="B17" s="33">
        <f>IF('Schedule of Values'!B23="","",'Schedule of Values'!B23)</f>
      </c>
      <c r="C17" s="34">
        <f>IF('Schedule of Values'!C23="","",'Schedule of Values'!C23)</f>
      </c>
      <c r="D17" s="19"/>
      <c r="E17" s="19"/>
      <c r="F17" s="19"/>
      <c r="G17" s="34">
        <f>IF($C17="","",D17+E17+F17)</f>
      </c>
      <c r="H17" s="35">
        <f>IF(OR($C17="",$C17=0),"",G17/C17)</f>
      </c>
      <c r="I17" s="34">
        <f>IF($C17="","",C17-G17)</f>
      </c>
      <c r="J17" s="34">
        <f>IF($C17="","",ROUND(G17*$G$5,2))</f>
      </c>
    </row>
    <row r="18" spans="1:10" x14ac:dyDescent="0.25">
      <c r="A18" s="32">
        <f>IF('Schedule of Values'!A24="","",'Schedule of Values'!A24)</f>
      </c>
      <c r="B18" s="33">
        <f>IF('Schedule of Values'!B24="","",'Schedule of Values'!B24)</f>
      </c>
      <c r="C18" s="34">
        <f>IF('Schedule of Values'!C24="","",'Schedule of Values'!C24)</f>
      </c>
      <c r="D18" s="19"/>
      <c r="E18" s="19"/>
      <c r="F18" s="19"/>
      <c r="G18" s="34">
        <f>IF($C18="","",D18+E18+F18)</f>
      </c>
      <c r="H18" s="35">
        <f>IF(OR($C18="",$C18=0),"",G18/C18)</f>
      </c>
      <c r="I18" s="34">
        <f>IF($C18="","",C18-G18)</f>
      </c>
      <c r="J18" s="34">
        <f>IF($C18="","",ROUND(G18*$G$5,2))</f>
      </c>
    </row>
    <row r="19" spans="1:10" x14ac:dyDescent="0.25">
      <c r="A19" s="32">
        <f>IF('Schedule of Values'!A25="","",'Schedule of Values'!A25)</f>
      </c>
      <c r="B19" s="33">
        <f>IF('Schedule of Values'!B25="","",'Schedule of Values'!B25)</f>
      </c>
      <c r="C19" s="34">
        <f>IF('Schedule of Values'!C25="","",'Schedule of Values'!C25)</f>
      </c>
      <c r="D19" s="19"/>
      <c r="E19" s="19"/>
      <c r="F19" s="19"/>
      <c r="G19" s="34">
        <f>IF($C19="","",D19+E19+F19)</f>
      </c>
      <c r="H19" s="35">
        <f>IF(OR($C19="",$C19=0),"",G19/C19)</f>
      </c>
      <c r="I19" s="34">
        <f>IF($C19="","",C19-G19)</f>
      </c>
      <c r="J19" s="34">
        <f>IF($C19="","",ROUND(G19*$G$5,2))</f>
      </c>
    </row>
    <row r="20" spans="1:10" x14ac:dyDescent="0.25">
      <c r="A20" s="32">
        <f>IF('Schedule of Values'!A26="","",'Schedule of Values'!A26)</f>
      </c>
      <c r="B20" s="33">
        <f>IF('Schedule of Values'!B26="","",'Schedule of Values'!B26)</f>
      </c>
      <c r="C20" s="34">
        <f>IF('Schedule of Values'!C26="","",'Schedule of Values'!C26)</f>
      </c>
      <c r="D20" s="19"/>
      <c r="E20" s="19"/>
      <c r="F20" s="19"/>
      <c r="G20" s="34">
        <f>IF($C20="","",D20+E20+F20)</f>
      </c>
      <c r="H20" s="35">
        <f>IF(OR($C20="",$C20=0),"",G20/C20)</f>
      </c>
      <c r="I20" s="34">
        <f>IF($C20="","",C20-G20)</f>
      </c>
      <c r="J20" s="34">
        <f>IF($C20="","",ROUND(G20*$G$5,2))</f>
      </c>
    </row>
    <row r="21" spans="1:10" x14ac:dyDescent="0.25">
      <c r="A21" s="32">
        <f>IF('Schedule of Values'!A27="","",'Schedule of Values'!A27)</f>
      </c>
      <c r="B21" s="33">
        <f>IF('Schedule of Values'!B27="","",'Schedule of Values'!B27)</f>
      </c>
      <c r="C21" s="34">
        <f>IF('Schedule of Values'!C27="","",'Schedule of Values'!C27)</f>
      </c>
      <c r="D21" s="19"/>
      <c r="E21" s="19"/>
      <c r="F21" s="19"/>
      <c r="G21" s="34">
        <f>IF($C21="","",D21+E21+F21)</f>
      </c>
      <c r="H21" s="35">
        <f>IF(OR($C21="",$C21=0),"",G21/C21)</f>
      </c>
      <c r="I21" s="34">
        <f>IF($C21="","",C21-G21)</f>
      </c>
      <c r="J21" s="34">
        <f>IF($C21="","",ROUND(G21*$G$5,2))</f>
      </c>
    </row>
    <row r="22" spans="1:10" x14ac:dyDescent="0.25">
      <c r="A22" s="32">
        <f>IF('Schedule of Values'!A28="","",'Schedule of Values'!A28)</f>
      </c>
      <c r="B22" s="33">
        <f>IF('Schedule of Values'!B28="","",'Schedule of Values'!B28)</f>
      </c>
      <c r="C22" s="34">
        <f>IF('Schedule of Values'!C28="","",'Schedule of Values'!C28)</f>
      </c>
      <c r="D22" s="19"/>
      <c r="E22" s="19"/>
      <c r="F22" s="19"/>
      <c r="G22" s="34">
        <f>IF($C22="","",D22+E22+F22)</f>
      </c>
      <c r="H22" s="35">
        <f>IF(OR($C22="",$C22=0),"",G22/C22)</f>
      </c>
      <c r="I22" s="34">
        <f>IF($C22="","",C22-G22)</f>
      </c>
      <c r="J22" s="34">
        <f>IF($C22="","",ROUND(G22*$G$5,2))</f>
      </c>
    </row>
    <row r="23" spans="1:10" x14ac:dyDescent="0.25">
      <c r="A23" s="32">
        <f>IF('Schedule of Values'!A29="","",'Schedule of Values'!A29)</f>
      </c>
      <c r="B23" s="33">
        <f>IF('Schedule of Values'!B29="","",'Schedule of Values'!B29)</f>
      </c>
      <c r="C23" s="34">
        <f>IF('Schedule of Values'!C29="","",'Schedule of Values'!C29)</f>
      </c>
      <c r="D23" s="19"/>
      <c r="E23" s="19"/>
      <c r="F23" s="19"/>
      <c r="G23" s="34">
        <f>IF($C23="","",D23+E23+F23)</f>
      </c>
      <c r="H23" s="35">
        <f>IF(OR($C23="",$C23=0),"",G23/C23)</f>
      </c>
      <c r="I23" s="34">
        <f>IF($C23="","",C23-G23)</f>
      </c>
      <c r="J23" s="34">
        <f>IF($C23="","",ROUND(G23*$G$5,2))</f>
      </c>
    </row>
    <row r="24" spans="1:10" x14ac:dyDescent="0.25">
      <c r="A24" s="32">
        <f>IF('Schedule of Values'!A30="","",'Schedule of Values'!A30)</f>
      </c>
      <c r="B24" s="33">
        <f>IF('Schedule of Values'!B30="","",'Schedule of Values'!B30)</f>
      </c>
      <c r="C24" s="34">
        <f>IF('Schedule of Values'!C30="","",'Schedule of Values'!C30)</f>
      </c>
      <c r="D24" s="19"/>
      <c r="E24" s="19"/>
      <c r="F24" s="19"/>
      <c r="G24" s="34">
        <f>IF($C24="","",D24+E24+F24)</f>
      </c>
      <c r="H24" s="35">
        <f>IF(OR($C24="",$C24=0),"",G24/C24)</f>
      </c>
      <c r="I24" s="34">
        <f>IF($C24="","",C24-G24)</f>
      </c>
      <c r="J24" s="34">
        <f>IF($C24="","",ROUND(G24*$G$5,2))</f>
      </c>
    </row>
    <row r="25" spans="1:10" x14ac:dyDescent="0.25">
      <c r="A25" s="32">
        <f>IF('Schedule of Values'!A31="","",'Schedule of Values'!A31)</f>
      </c>
      <c r="B25" s="33">
        <f>IF('Schedule of Values'!B31="","",'Schedule of Values'!B31)</f>
      </c>
      <c r="C25" s="34">
        <f>IF('Schedule of Values'!C31="","",'Schedule of Values'!C31)</f>
      </c>
      <c r="D25" s="19"/>
      <c r="E25" s="19"/>
      <c r="F25" s="19"/>
      <c r="G25" s="34">
        <f>IF($C25="","",D25+E25+F25)</f>
      </c>
      <c r="H25" s="35">
        <f>IF(OR($C25="",$C25=0),"",G25/C25)</f>
      </c>
      <c r="I25" s="34">
        <f>IF($C25="","",C25-G25)</f>
      </c>
      <c r="J25" s="34">
        <f>IF($C25="","",ROUND(G25*$G$5,2))</f>
      </c>
    </row>
    <row r="26" spans="1:10" x14ac:dyDescent="0.25">
      <c r="A26" s="32">
        <f>IF('Schedule of Values'!A32="","",'Schedule of Values'!A32)</f>
      </c>
      <c r="B26" s="33">
        <f>IF('Schedule of Values'!B32="","",'Schedule of Values'!B32)</f>
      </c>
      <c r="C26" s="34">
        <f>IF('Schedule of Values'!C32="","",'Schedule of Values'!C32)</f>
      </c>
      <c r="D26" s="19"/>
      <c r="E26" s="19"/>
      <c r="F26" s="19"/>
      <c r="G26" s="34">
        <f>IF($C26="","",D26+E26+F26)</f>
      </c>
      <c r="H26" s="35">
        <f>IF(OR($C26="",$C26=0),"",G26/C26)</f>
      </c>
      <c r="I26" s="34">
        <f>IF($C26="","",C26-G26)</f>
      </c>
      <c r="J26" s="34">
        <f>IF($C26="","",ROUND(G26*$G$5,2))</f>
      </c>
    </row>
    <row r="27" spans="1:10" x14ac:dyDescent="0.25">
      <c r="A27" s="32">
        <f>IF('Schedule of Values'!A33="","",'Schedule of Values'!A33)</f>
      </c>
      <c r="B27" s="33">
        <f>IF('Schedule of Values'!B33="","",'Schedule of Values'!B33)</f>
      </c>
      <c r="C27" s="34">
        <f>IF('Schedule of Values'!C33="","",'Schedule of Values'!C33)</f>
      </c>
      <c r="D27" s="19"/>
      <c r="E27" s="19"/>
      <c r="F27" s="19"/>
      <c r="G27" s="34">
        <f>IF($C27="","",D27+E27+F27)</f>
      </c>
      <c r="H27" s="35">
        <f>IF(OR($C27="",$C27=0),"",G27/C27)</f>
      </c>
      <c r="I27" s="34">
        <f>IF($C27="","",C27-G27)</f>
      </c>
      <c r="J27" s="34">
        <f>IF($C27="","",ROUND(G27*$G$5,2))</f>
      </c>
    </row>
    <row r="28" spans="1:10" x14ac:dyDescent="0.25">
      <c r="A28" s="32">
        <f>IF('Schedule of Values'!A34="","",'Schedule of Values'!A34)</f>
      </c>
      <c r="B28" s="33">
        <f>IF('Schedule of Values'!B34="","",'Schedule of Values'!B34)</f>
      </c>
      <c r="C28" s="34">
        <f>IF('Schedule of Values'!C34="","",'Schedule of Values'!C34)</f>
      </c>
      <c r="D28" s="19"/>
      <c r="E28" s="19"/>
      <c r="F28" s="19"/>
      <c r="G28" s="34">
        <f>IF($C28="","",D28+E28+F28)</f>
      </c>
      <c r="H28" s="35">
        <f>IF(OR($C28="",$C28=0),"",G28/C28)</f>
      </c>
      <c r="I28" s="34">
        <f>IF($C28="","",C28-G28)</f>
      </c>
      <c r="J28" s="34">
        <f>IF($C28="","",ROUND(G28*$G$5,2))</f>
      </c>
    </row>
    <row r="29" spans="1:10" x14ac:dyDescent="0.25">
      <c r="A29" s="32">
        <f>IF('Schedule of Values'!A35="","",'Schedule of Values'!A35)</f>
      </c>
      <c r="B29" s="33">
        <f>IF('Schedule of Values'!B35="","",'Schedule of Values'!B35)</f>
      </c>
      <c r="C29" s="34">
        <f>IF('Schedule of Values'!C35="","",'Schedule of Values'!C35)</f>
      </c>
      <c r="D29" s="19"/>
      <c r="E29" s="19"/>
      <c r="F29" s="19"/>
      <c r="G29" s="34">
        <f>IF($C29="","",D29+E29+F29)</f>
      </c>
      <c r="H29" s="35">
        <f>IF(OR($C29="",$C29=0),"",G29/C29)</f>
      </c>
      <c r="I29" s="34">
        <f>IF($C29="","",C29-G29)</f>
      </c>
      <c r="J29" s="34">
        <f>IF($C29="","",ROUND(G29*$G$5,2))</f>
      </c>
    </row>
    <row r="30" spans="1:10" x14ac:dyDescent="0.25">
      <c r="A30" s="32">
        <f>IF('Schedule of Values'!A36="","",'Schedule of Values'!A36)</f>
      </c>
      <c r="B30" s="33">
        <f>IF('Schedule of Values'!B36="","",'Schedule of Values'!B36)</f>
      </c>
      <c r="C30" s="34">
        <f>IF('Schedule of Values'!C36="","",'Schedule of Values'!C36)</f>
      </c>
      <c r="D30" s="19"/>
      <c r="E30" s="19"/>
      <c r="F30" s="19"/>
      <c r="G30" s="34">
        <f>IF($C30="","",D30+E30+F30)</f>
      </c>
      <c r="H30" s="35">
        <f>IF(OR($C30="",$C30=0),"",G30/C30)</f>
      </c>
      <c r="I30" s="34">
        <f>IF($C30="","",C30-G30)</f>
      </c>
      <c r="J30" s="34">
        <f>IF($C30="","",ROUND(G30*$G$5,2))</f>
      </c>
    </row>
    <row r="31" spans="1:10" x14ac:dyDescent="0.25">
      <c r="A31" s="32">
        <f>IF('Schedule of Values'!A37="","",'Schedule of Values'!A37)</f>
      </c>
      <c r="B31" s="33">
        <f>IF('Schedule of Values'!B37="","",'Schedule of Values'!B37)</f>
      </c>
      <c r="C31" s="34">
        <f>IF('Schedule of Values'!C37="","",'Schedule of Values'!C37)</f>
      </c>
      <c r="D31" s="19"/>
      <c r="E31" s="19"/>
      <c r="F31" s="19"/>
      <c r="G31" s="34">
        <f>IF($C31="","",D31+E31+F31)</f>
      </c>
      <c r="H31" s="35">
        <f>IF(OR($C31="",$C31=0),"",G31/C31)</f>
      </c>
      <c r="I31" s="34">
        <f>IF($C31="","",C31-G31)</f>
      </c>
      <c r="J31" s="34">
        <f>IF($C31="","",ROUND(G31*$G$5,2))</f>
      </c>
    </row>
    <row r="32" spans="1:10" x14ac:dyDescent="0.25">
      <c r="A32" s="32">
        <f>IF('Schedule of Values'!A38="","",'Schedule of Values'!A38)</f>
      </c>
      <c r="B32" s="33">
        <f>IF('Schedule of Values'!B38="","",'Schedule of Values'!B38)</f>
      </c>
      <c r="C32" s="34">
        <f>IF('Schedule of Values'!C38="","",'Schedule of Values'!C38)</f>
      </c>
      <c r="D32" s="19"/>
      <c r="E32" s="19"/>
      <c r="F32" s="19"/>
      <c r="G32" s="34">
        <f>IF($C32="","",D32+E32+F32)</f>
      </c>
      <c r="H32" s="35">
        <f>IF(OR($C32="",$C32=0),"",G32/C32)</f>
      </c>
      <c r="I32" s="34">
        <f>IF($C32="","",C32-G32)</f>
      </c>
      <c r="J32" s="34">
        <f>IF($C32="","",ROUND(G32*$G$5,2))</f>
      </c>
    </row>
    <row r="33" spans="1:10" x14ac:dyDescent="0.25">
      <c r="A33" s="32">
        <f>IF('Schedule of Values'!A39="","",'Schedule of Values'!A39)</f>
      </c>
      <c r="B33" s="33">
        <f>IF('Schedule of Values'!B39="","",'Schedule of Values'!B39)</f>
      </c>
      <c r="C33" s="34">
        <f>IF('Schedule of Values'!C39="","",'Schedule of Values'!C39)</f>
      </c>
      <c r="D33" s="19"/>
      <c r="E33" s="19"/>
      <c r="F33" s="19"/>
      <c r="G33" s="34">
        <f>IF($C33="","",D33+E33+F33)</f>
      </c>
      <c r="H33" s="35">
        <f>IF(OR($C33="",$C33=0),"",G33/C33)</f>
      </c>
      <c r="I33" s="34">
        <f>IF($C33="","",C33-G33)</f>
      </c>
      <c r="J33" s="34">
        <f>IF($C33="","",ROUND(G33*$G$5,2))</f>
      </c>
    </row>
    <row r="34" spans="1:10" x14ac:dyDescent="0.25">
      <c r="A34" s="32">
        <f>IF('Schedule of Values'!A40="","",'Schedule of Values'!A40)</f>
      </c>
      <c r="B34" s="33">
        <f>IF('Schedule of Values'!B40="","",'Schedule of Values'!B40)</f>
      </c>
      <c r="C34" s="34">
        <f>IF('Schedule of Values'!C40="","",'Schedule of Values'!C40)</f>
      </c>
      <c r="D34" s="19"/>
      <c r="E34" s="19"/>
      <c r="F34" s="19"/>
      <c r="G34" s="34">
        <f>IF($C34="","",D34+E34+F34)</f>
      </c>
      <c r="H34" s="35">
        <f>IF(OR($C34="",$C34=0),"",G34/C34)</f>
      </c>
      <c r="I34" s="34">
        <f>IF($C34="","",C34-G34)</f>
      </c>
      <c r="J34" s="34">
        <f>IF($C34="","",ROUND(G34*$G$5,2))</f>
      </c>
    </row>
    <row r="35" spans="1:10" x14ac:dyDescent="0.25">
      <c r="A35" s="32">
        <f>IF('Schedule of Values'!A41="","",'Schedule of Values'!A41)</f>
      </c>
      <c r="B35" s="33">
        <f>IF('Schedule of Values'!B41="","",'Schedule of Values'!B41)</f>
      </c>
      <c r="C35" s="34">
        <f>IF('Schedule of Values'!C41="","",'Schedule of Values'!C41)</f>
      </c>
      <c r="D35" s="19"/>
      <c r="E35" s="19"/>
      <c r="F35" s="19"/>
      <c r="G35" s="34">
        <f>IF($C35="","",D35+E35+F35)</f>
      </c>
      <c r="H35" s="35">
        <f>IF(OR($C35="",$C35=0),"",G35/C35)</f>
      </c>
      <c r="I35" s="34">
        <f>IF($C35="","",C35-G35)</f>
      </c>
      <c r="J35" s="34">
        <f>IF($C35="","",ROUND(G35*$G$5,2))</f>
      </c>
    </row>
    <row r="36" spans="1:10" x14ac:dyDescent="0.25">
      <c r="A36" s="32">
        <f>IF('Schedule of Values'!A42="","",'Schedule of Values'!A42)</f>
      </c>
      <c r="B36" s="33">
        <f>IF('Schedule of Values'!B42="","",'Schedule of Values'!B42)</f>
      </c>
      <c r="C36" s="34">
        <f>IF('Schedule of Values'!C42="","",'Schedule of Values'!C42)</f>
      </c>
      <c r="D36" s="19"/>
      <c r="E36" s="19"/>
      <c r="F36" s="19"/>
      <c r="G36" s="34">
        <f>IF($C36="","",D36+E36+F36)</f>
      </c>
      <c r="H36" s="35">
        <f>IF(OR($C36="",$C36=0),"",G36/C36)</f>
      </c>
      <c r="I36" s="34">
        <f>IF($C36="","",C36-G36)</f>
      </c>
      <c r="J36" s="34">
        <f>IF($C36="","",ROUND(G36*$G$5,2))</f>
      </c>
    </row>
    <row r="37" spans="1:10" x14ac:dyDescent="0.25">
      <c r="A37" s="32">
        <f>IF('Schedule of Values'!A43="","",'Schedule of Values'!A43)</f>
      </c>
      <c r="B37" s="33">
        <f>IF('Schedule of Values'!B43="","",'Schedule of Values'!B43)</f>
      </c>
      <c r="C37" s="34">
        <f>IF('Schedule of Values'!C43="","",'Schedule of Values'!C43)</f>
      </c>
      <c r="D37" s="19"/>
      <c r="E37" s="19"/>
      <c r="F37" s="19"/>
      <c r="G37" s="34">
        <f>IF($C37="","",D37+E37+F37)</f>
      </c>
      <c r="H37" s="35">
        <f>IF(OR($C37="",$C37=0),"",G37/C37)</f>
      </c>
      <c r="I37" s="34">
        <f>IF($C37="","",C37-G37)</f>
      </c>
      <c r="J37" s="34">
        <f>IF($C37="","",ROUND(G37*$G$5,2))</f>
      </c>
    </row>
    <row r="38" ht="22" customHeight="1" spans="1:10" x14ac:dyDescent="0.25">
      <c r="A38" s="21" t="s">
        <v>21</v>
      </c>
      <c r="B38" s="21" t="s">
        <v>44</v>
      </c>
      <c r="C38" s="22">
        <f>SUM(C8:C37)</f>
      </c>
      <c r="D38" s="22">
        <f>SUM(D8:D37)</f>
      </c>
      <c r="E38" s="22">
        <f>SUM(E8:E37)</f>
      </c>
      <c r="F38" s="22">
        <f>SUM(F8:F37)</f>
      </c>
      <c r="G38" s="22">
        <f>SUM(G8:G37)</f>
      </c>
      <c r="H38" s="36">
        <f>IF(C38=0,"",G38/C38)</f>
      </c>
      <c r="I38" s="22">
        <f>SUM(I8:I37)</f>
      </c>
      <c r="J38" s="22">
        <f>SUM(J8:J37)</f>
      </c>
    </row>
    <row r="40" spans="7:7" x14ac:dyDescent="0.25">
      <c r="G40" s="7" t="s">
        <v>45</v>
      </c>
    </row>
    <row r="41" spans="7:10" x14ac:dyDescent="0.25">
      <c r="G41" s="12" t="s">
        <v>46</v>
      </c>
      <c r="H41" s="12"/>
      <c r="I41" s="12"/>
      <c r="J41" s="37">
        <f>E38+F38</f>
      </c>
    </row>
    <row r="42" spans="7:10" x14ac:dyDescent="0.25">
      <c r="G42" s="12" t="s">
        <v>47</v>
      </c>
      <c r="H42" s="12"/>
      <c r="I42" s="12"/>
      <c r="J42" s="37">
        <f>ROUND((E38+F38)*$G$5,2)</f>
      </c>
    </row>
    <row r="43" spans="7:10" x14ac:dyDescent="0.25">
      <c r="G43" s="38" t="s">
        <v>48</v>
      </c>
      <c r="H43" s="38"/>
      <c r="I43" s="38"/>
      <c r="J43" s="22">
        <f>J41-J42</f>
      </c>
    </row>
    <row r="44" spans="7:10" x14ac:dyDescent="0.25">
      <c r="G44" s="12" t="s">
        <v>49</v>
      </c>
      <c r="H44" s="12"/>
      <c r="I44" s="12"/>
      <c r="J44" s="37">
        <f>G38-J38</f>
      </c>
    </row>
    <row r="46" ht="40" customHeight="1" spans="1:10" x14ac:dyDescent="0.25">
      <c r="A46" s="25" t="s">
        <v>50</v>
      </c>
      <c r="B46" s="25"/>
      <c r="C46" s="25"/>
      <c r="D46" s="25"/>
      <c r="E46" s="25"/>
      <c r="F46" s="25"/>
      <c r="G46" s="25"/>
      <c r="H46" s="25"/>
      <c r="I46" s="25"/>
      <c r="J46" s="25"/>
    </row>
    <row r="48" ht="26" customHeight="1" spans="1:10" x14ac:dyDescent="0.25">
      <c r="A48" s="29" t="s">
        <v>51</v>
      </c>
      <c r="B48" s="29"/>
      <c r="C48" s="29"/>
      <c r="D48" s="29"/>
      <c r="E48" s="29"/>
      <c r="F48" s="29"/>
      <c r="G48" s="29"/>
      <c r="H48" s="29"/>
      <c r="I48" s="29"/>
      <c r="J48" s="29"/>
    </row>
  </sheetData>
  <mergeCells count="7">
    <mergeCell ref="H1:J1"/>
    <mergeCell ref="G41:I41"/>
    <mergeCell ref="G42:I42"/>
    <mergeCell ref="G43:I43"/>
    <mergeCell ref="G44:I44"/>
    <mergeCell ref="A46:J46"/>
    <mergeCell ref="A48:J48"/>
  </mergeCells>
  <hyperlinks>
    <hyperlink ref="A48" r:id="rId1"/>
  </hyperlinks>
  <printOptions horizontalCentered="1"/>
  <pageMargins left="0.5" right="0.5" top="0.6" bottom="0.6" header="0.3" footer="0.3"/>
  <pageSetup paperSize="1" orientation="landscape" horizontalDpi="4294967295" verticalDpi="4294967295" scale="100" fitToWidth="1" fitToHeight="1"/>
  <headerFooter>
    <oddFooter>&amp;L&amp;8&amp;K8B93A1Free template by BuildWorkPro · buildworkpro.com/templates&amp;C&amp;8&amp;K8B93A1Billing Tracker&amp;R&amp;8&amp;K8B93A1Page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19"/>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52</v>
      </c>
    </row>
    <row r="2" ht="6" customHeight="1" spans="1:2" x14ac:dyDescent="0.25">
      <c r="A2" s="4"/>
      <c r="B2" s="4"/>
    </row>
    <row r="4" ht="30" customHeight="1" spans="1:2" x14ac:dyDescent="0.25">
      <c r="A4" s="39" t="s">
        <v>53</v>
      </c>
      <c r="B4" s="40" t="s">
        <v>54</v>
      </c>
    </row>
    <row r="5" ht="45" customHeight="1" spans="1:2" x14ac:dyDescent="0.25">
      <c r="A5" s="39" t="s">
        <v>55</v>
      </c>
      <c r="B5" s="40" t="s">
        <v>56</v>
      </c>
    </row>
    <row r="6" ht="30" customHeight="1" spans="1:2" x14ac:dyDescent="0.25">
      <c r="A6" s="39" t="s">
        <v>57</v>
      </c>
      <c r="B6" s="40" t="s">
        <v>58</v>
      </c>
    </row>
    <row r="7" ht="30" customHeight="1" spans="1:2" x14ac:dyDescent="0.25">
      <c r="A7" s="39" t="s">
        <v>59</v>
      </c>
      <c r="B7" s="40" t="s">
        <v>60</v>
      </c>
    </row>
    <row r="8" ht="45" customHeight="1" spans="1:2" x14ac:dyDescent="0.25">
      <c r="A8" s="39" t="s">
        <v>61</v>
      </c>
      <c r="B8" s="40" t="s">
        <v>62</v>
      </c>
    </row>
    <row r="10" spans="2:2" x14ac:dyDescent="0.25">
      <c r="B10" s="7" t="s">
        <v>63</v>
      </c>
    </row>
    <row r="11" ht="30" customHeight="1" spans="1:2" x14ac:dyDescent="0.25">
      <c r="A11" s="41" t="s">
        <v>64</v>
      </c>
      <c r="B11" s="42" t="s">
        <v>65</v>
      </c>
    </row>
    <row r="12" ht="30" customHeight="1" spans="1:2" x14ac:dyDescent="0.25">
      <c r="A12" s="41" t="s">
        <v>64</v>
      </c>
      <c r="B12" s="42" t="s">
        <v>66</v>
      </c>
    </row>
    <row r="13" ht="30" customHeight="1" spans="1:2" x14ac:dyDescent="0.25">
      <c r="A13" s="41" t="s">
        <v>64</v>
      </c>
      <c r="B13" s="42" t="s">
        <v>67</v>
      </c>
    </row>
    <row r="14" ht="18" customHeight="1" spans="1:2" x14ac:dyDescent="0.25">
      <c r="A14" s="41" t="s">
        <v>64</v>
      </c>
      <c r="B14" s="42" t="s">
        <v>68</v>
      </c>
    </row>
    <row r="16" ht="44" customHeight="1" spans="1:2" x14ac:dyDescent="0.25">
      <c r="A16" s="25" t="s">
        <v>69</v>
      </c>
      <c r="B16" s="25"/>
    </row>
    <row r="17" spans="2:2" x14ac:dyDescent="0.25">
      <c r="B17" s="43" t="s">
        <v>70</v>
      </c>
    </row>
    <row r="19" ht="78" customHeight="1" spans="1:2" x14ac:dyDescent="0.25">
      <c r="A19" s="29" t="s">
        <v>71</v>
      </c>
      <c r="B19" s="29"/>
    </row>
  </sheetData>
  <mergeCells count="2">
    <mergeCell ref="A16:B16"/>
    <mergeCell ref="A19:B19"/>
  </mergeCells>
  <hyperlinks>
    <hyperlink ref="B17" r:id="rId1"/>
    <hyperlink ref="A19"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Schedule of Values</vt:lpstr>
      <vt:lpstr>Billing Tracker</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Schedule of Values Template</dc:title>
  <dc:subject>Schedule of Values Template</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