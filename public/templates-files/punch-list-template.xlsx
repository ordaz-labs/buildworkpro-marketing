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ch List" state="visible" r:id="rId4"/>
    <sheet sheetId="2" name="How to Use" state="visible" r:id="rId5"/>
  </sheets>
  <definedNames>
    <definedName name="_xlnm.Print_Area" localSheetId="0">'Punch List'!$A1:$L55</definedName>
    <definedName name="_xlnm.Print_Titles" localSheetId="0">'Punch List'!$10:$10</definedName>
  </definedNames>
  <calcPr calcId="171027" fullCalcOnLoad="1"/>
</workbook>
</file>

<file path=xl/sharedStrings.xml><?xml version="1.0" encoding="utf-8"?>
<sst xmlns="http://schemas.openxmlformats.org/spreadsheetml/2006/main" count="58" uniqueCount="55">
  <si>
    <t>Punch List</t>
  </si>
  <si>
    <t>Print: landscape, one page wide</t>
  </si>
  <si>
    <t>One row per item. Pick the status from the dropdown — the counts, days open and the overdue flag calculate from it.</t>
  </si>
  <si>
    <t>Amber cells are yours to fill in. Everything else calculates.</t>
  </si>
  <si>
    <t>Project</t>
  </si>
  <si>
    <t>Walk date</t>
  </si>
  <si>
    <t>Open</t>
  </si>
  <si>
    <t>Items on list</t>
  </si>
  <si>
    <t>Area / floors walked</t>
  </si>
  <si>
    <t>Status date (blank = today)</t>
  </si>
  <si>
    <t>Ready for review</t>
  </si>
  <si>
    <t>High priority open</t>
  </si>
  <si>
    <t>Prepared by</t>
  </si>
  <si>
    <t>Conducted with (GC / architect)</t>
  </si>
  <si>
    <t>Complete</t>
  </si>
  <si>
    <t>% closed</t>
  </si>
  <si>
    <t>#</t>
  </si>
  <si>
    <t>LOCATION / ROOM</t>
  </si>
  <si>
    <t>ITEM — WHAT IS WRONG AND WHAT FIXES IT</t>
  </si>
  <si>
    <t>TRADE / RESPONSIBLE</t>
  </si>
  <si>
    <t>PRIORITY</t>
  </si>
  <si>
    <t>STATUS</t>
  </si>
  <si>
    <t>DATE NOTED</t>
  </si>
  <si>
    <t>DUE</t>
  </si>
  <si>
    <t>DATE COMPLETED</t>
  </si>
  <si>
    <t>DAYS OPEN</t>
  </si>
  <si>
    <t>VERIFIED BY</t>
  </si>
  <si>
    <t>NOTES / PHOTO REF.</t>
  </si>
  <si>
    <t/>
  </si>
  <si>
    <t>Totals</t>
  </si>
  <si>
    <t>avg days</t>
  </si>
  <si>
    <t>Status must be exactly Open, Ready for Review or Complete (use the dropdown) — the counts depend on it. Days open runs from the date noted to the completed date, or to the status date (today if blank) while the item is open. A red due date is overdue.</t>
  </si>
  <si>
    <t>Free template by BuildWorkPro — buildworkpro.com/templates. General-purpose form, not legal advice; your contract defines substantial completion and how punch items are closed.</t>
  </si>
  <si>
    <t>How to use the Punch List Template</t>
  </si>
  <si>
    <t>1.</t>
  </si>
  <si>
    <t>Fill in the project, the walk date and who conducted the walk. Set a status date if you are reporting as of a specific day; leave it blank to count days open to today.</t>
  </si>
  <si>
    <t>2.</t>
  </si>
  <si>
    <t>Add one row per item: location first (floor · room · grid), then a description that says what is wrong and what fixes it, and the trade or person responsible.</t>
  </si>
  <si>
    <t>3.</t>
  </si>
  <si>
    <t>Set a priority — High for safety, water or weather exposure or anything blocking another trade — and a due date. The row turns red when a due date passes without the item marked Complete.</t>
  </si>
  <si>
    <t>4.</t>
  </si>
  <si>
    <t>Update the status from the dropdown as items move: Open → Ready for Review once fixed → Complete only after the GC, owner or architect verifies it. Record the verifier by name.</t>
  </si>
  <si>
    <t>5.</t>
  </si>
  <si>
    <t>Watch the counts at the top: items on list, open, ready for review, complete, high-priority open and % closed all update live. Sort or filter by trade to hand each sub exactly their items.</t>
  </si>
  <si>
    <t>6.</t>
  </si>
  <si>
    <t>When every item reads Complete, print the list (landscape, one page wide) and file it with your certificate of substantial completion and final pay application.</t>
  </si>
  <si>
    <t>TIPS FROM THE FIELD</t>
  </si>
  <si>
    <t>•</t>
  </si>
  <si>
    <t>Walk your own punch before the official one. Items you find and close yourself never appear on the GC’s list.</t>
  </si>
  <si>
    <t>Photograph every item when it is noted and again when it is fixed — a before/after pair ends most arguments about whether an item was really closed.</t>
  </si>
  <si>
    <t>Require a verifier other than the person who did the fix. Items that get re-opened three times are the ones nobody checked.</t>
  </si>
  <si>
    <t>Retainage release usually waits on a closed punch list. Every open item is money you have already earned and cannot collect yet.</t>
  </si>
  <si>
    <t>In BuildWorkPro, project tasks and punch items carry photos, assignees, priorities and status inside the project record, visible to the office and the field — and closeout sits next to the change orders and pay applications for the same job.</t>
  </si>
  <si>
    <t>https://buildworkpro.com/features/project-management/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</si>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</sst>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15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color rgb="FF4A5260"/>
      <sz val="9"/>
      <name val="Calibri"/>
    </font>
    <font>
      <b/>
      <color rgb="FF1B1F24"/>
      <sz val="10"/>
      <name val="Calibri"/>
    </font>
    <font>
      <b/>
      <color rgb="FF4A5260"/>
      <sz val="7.5"/>
      <name val="Calibri"/>
    </font>
    <font>
      <color rgb="FF8B93A1"/>
      <sz val="10"/>
      <name val="Calibri"/>
    </font>
    <font>
      <i/>
      <color rgb="FF8B93A1"/>
      <sz val="8"/>
      <name val="Calibri"/>
    </font>
    <font>
      <color rgb="FF8B93A1"/>
      <sz val="8"/>
      <name val="Calibri"/>
    </font>
    <font>
      <b/>
      <color rgb="FF4A5260"/>
      <sz val="10"/>
      <name val="Calibri"/>
    </font>
    <font>
      <b/>
      <color rgb="FF8B93A1"/>
      <sz val="7.5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2563EB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" fontId="7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left" vertical="center"/>
    </xf>
    <xf numFmtId="9" fontId="7" fillId="0" borderId="0" xfId="0" applyNumberFormat="1" applyFont="1" applyAlignment="1">
      <alignment horizontal="left" vertical="center"/>
    </xf>
    <xf numFmtId="0" fontId="8" fillId="3" borderId="3" xfId="0" applyFont="1" applyFill="1" applyBorder="1" applyAlignment="1">
      <alignment horizontal="center" vertical="bottom" wrapText="1"/>
    </xf>
    <xf numFmtId="0" fontId="8" fillId="3" borderId="3" xfId="0" applyFont="1" applyFill="1" applyBorder="1" applyAlignment="1">
      <alignment horizontal="left" vertical="bottom" wrapText="1"/>
    </xf>
    <xf numFmtId="0" fontId="8" fillId="3" borderId="3" xfId="0" applyFont="1" applyFill="1" applyBorder="1" applyAlignment="1">
      <alignment horizontal="right" vertical="bottom" wrapText="1"/>
    </xf>
    <xf numFmtId="0" fontId="9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 inden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13" fillId="0" borderId="0" xfId="0" applyFo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14" fillId="0" borderId="0" xfId="0" applyFont="1"/>
  </cellXfs>
  <cellStyles count="1">
    <cellStyle name="Normal" xfId="0" builtinId="0"/>
  </cellStyles>
  <dxfs count="5">
    <dxf>
      <fill>
        <patternFill patternType="solid">
          <bgColor rgb="FFE6F4EA"/>
        </patternFill>
      </fill>
    </dxf>
    <dxf>
      <fill>
        <patternFill patternType="solid">
          <bgColor rgb="FFE3ECFF"/>
        </patternFill>
      </fill>
    </dxf>
    <dxf>
      <fill>
        <patternFill patternType="solid">
          <bgColor rgb="FFFFF7E6"/>
        </patternFill>
      </fill>
    </dxf>
    <dxf>
      <fill>
        <patternFill patternType="solid">
          <bgColor rgb="FFFDE8E6"/>
        </patternFill>
      </fill>
    </dxf>
    <dxf>
      <font>
        <b/>
        <color rgb="FFB3261E"/>
      </font>
      <fill>
        <patternFill patternType="solid">
          <bgColor rgb="FFFD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project-management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5"/>
  <sheetViews>
    <sheetView workbookViewId="0" showGridLines="0">
      <pane xSplit="3" ySplit="10" topLeftCell="D11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4" customWidth="1"/>
    <col min="4" max="4" width="16" customWidth="1"/>
    <col min="6" max="6" width="17" customWidth="1"/>
    <col min="7" max="8" width="12" customWidth="1"/>
    <col min="9" max="9" width="13" customWidth="1"/>
    <col min="11" max="11" width="14" customWidth="1"/>
    <col min="12" max="12" width="26" customWidth="1"/>
  </cols>
  <sheetData>
    <row r="1" ht="30" customHeight="1" spans="1:12" x14ac:dyDescent="0.25">
      <c r="A1" s="1" t="s">
        <v>0</v>
      </c>
      <c r="J1" s="2" t="s">
        <v>1</v>
      </c>
      <c r="K1" s="2"/>
      <c r="L1" s="2"/>
    </row>
    <row r="2" spans="1:1" x14ac:dyDescent="0.25">
      <c r="A2" s="3" t="s">
        <v>2</v>
      </c>
    </row>
    <row r="3" ht="6" customHeight="1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2" x14ac:dyDescent="0.25">
      <c r="A4" s="5"/>
      <c r="B4" s="6" t="s">
        <v>3</v>
      </c>
    </row>
    <row r="6" spans="1:12" x14ac:dyDescent="0.25">
      <c r="A6" s="7" t="s">
        <v>4</v>
      </c>
      <c r="B6" s="7"/>
      <c r="C6" s="8"/>
      <c r="D6" s="7" t="s">
        <v>5</v>
      </c>
      <c r="E6" s="7"/>
      <c r="F6" s="9"/>
      <c r="H6" s="7" t="s">
        <v>6</v>
      </c>
      <c r="I6" s="10">
        <f>COUNTIF(F11:F50,"Open")</f>
      </c>
      <c r="K6" s="7" t="s">
        <v>7</v>
      </c>
      <c r="L6" s="11">
        <f>COUNTA(C11:C50)</f>
      </c>
    </row>
    <row r="7" spans="1:12" x14ac:dyDescent="0.25">
      <c r="A7" s="7" t="s">
        <v>8</v>
      </c>
      <c r="B7" s="7"/>
      <c r="C7" s="8"/>
      <c r="D7" s="7" t="s">
        <v>9</v>
      </c>
      <c r="E7" s="7"/>
      <c r="F7" s="9"/>
      <c r="H7" s="7" t="s">
        <v>10</v>
      </c>
      <c r="I7" s="10">
        <f>COUNTIF(F11:F50,"Ready for Review")</f>
      </c>
      <c r="K7" s="7" t="s">
        <v>11</v>
      </c>
      <c r="L7" s="11">
        <f>COUNTIFS(E11:E50,"High",F11:F50,"&lt;&gt;Complete")</f>
      </c>
    </row>
    <row r="8" spans="1:12" x14ac:dyDescent="0.25">
      <c r="A8" s="7" t="s">
        <v>12</v>
      </c>
      <c r="B8" s="7"/>
      <c r="C8" s="8"/>
      <c r="D8" s="7" t="s">
        <v>13</v>
      </c>
      <c r="E8" s="7"/>
      <c r="F8" s="8"/>
      <c r="H8" s="7" t="s">
        <v>14</v>
      </c>
      <c r="I8" s="10">
        <f>COUNTIF(F11:F50,"Complete")</f>
      </c>
      <c r="K8" s="7" t="s">
        <v>15</v>
      </c>
      <c r="L8" s="12">
        <f>IF(COUNTA(C11:C50)=0,"",COUNTIF(F11:F50,"Complete")/COUNTA(C11:C50))</f>
      </c>
    </row>
    <row r="10" ht="22" customHeight="1" spans="1:12" x14ac:dyDescent="0.25">
      <c r="A10" s="13" t="s">
        <v>16</v>
      </c>
      <c r="B10" s="14" t="s">
        <v>17</v>
      </c>
      <c r="C10" s="14" t="s">
        <v>18</v>
      </c>
      <c r="D10" s="14" t="s">
        <v>19</v>
      </c>
      <c r="E10" s="13" t="s">
        <v>20</v>
      </c>
      <c r="F10" s="14" t="s">
        <v>21</v>
      </c>
      <c r="G10" s="13" t="s">
        <v>22</v>
      </c>
      <c r="H10" s="13" t="s">
        <v>23</v>
      </c>
      <c r="I10" s="13" t="s">
        <v>24</v>
      </c>
      <c r="J10" s="15" t="s">
        <v>25</v>
      </c>
      <c r="K10" s="14" t="s">
        <v>26</v>
      </c>
      <c r="L10" s="14" t="s">
        <v>27</v>
      </c>
    </row>
    <row r="11" ht="18" customHeight="1" spans="1:12" x14ac:dyDescent="0.25">
      <c r="A11" s="16">
        <v>1</v>
      </c>
      <c r="B11" s="17"/>
      <c r="C11" s="17"/>
      <c r="D11" s="18"/>
      <c r="E11" s="19"/>
      <c r="F11" s="18"/>
      <c r="G11" s="20"/>
      <c r="H11" s="20"/>
      <c r="I11" s="20"/>
      <c r="J11" s="21">
        <f>IF(OR(C11="",G11=""),"",IF(I11&lt;&gt;"",I11,IF($F$7&lt;&gt;"",$F$7,TODAY()))-G11)</f>
      </c>
      <c r="K11" s="18"/>
      <c r="L11" s="17"/>
    </row>
    <row r="12" ht="18" customHeight="1" spans="1:12" x14ac:dyDescent="0.25">
      <c r="A12" s="16">
        <v>2</v>
      </c>
      <c r="B12" s="17"/>
      <c r="C12" s="17"/>
      <c r="D12" s="18"/>
      <c r="E12" s="19"/>
      <c r="F12" s="18"/>
      <c r="G12" s="20"/>
      <c r="H12" s="20"/>
      <c r="I12" s="20"/>
      <c r="J12" s="21">
        <f>IF(OR(C12="",G12=""),"",IF(I12&lt;&gt;"",I12,IF($F$7&lt;&gt;"",$F$7,TODAY()))-G12)</f>
      </c>
      <c r="K12" s="18"/>
      <c r="L12" s="17"/>
    </row>
    <row r="13" ht="18" customHeight="1" spans="1:12" x14ac:dyDescent="0.25">
      <c r="A13" s="16">
        <v>3</v>
      </c>
      <c r="B13" s="17"/>
      <c r="C13" s="17"/>
      <c r="D13" s="18"/>
      <c r="E13" s="19"/>
      <c r="F13" s="18"/>
      <c r="G13" s="20"/>
      <c r="H13" s="20"/>
      <c r="I13" s="20"/>
      <c r="J13" s="21">
        <f>IF(OR(C13="",G13=""),"",IF(I13&lt;&gt;"",I13,IF($F$7&lt;&gt;"",$F$7,TODAY()))-G13)</f>
      </c>
      <c r="K13" s="18"/>
      <c r="L13" s="17"/>
    </row>
    <row r="14" ht="18" customHeight="1" spans="1:12" x14ac:dyDescent="0.25">
      <c r="A14" s="16">
        <v>4</v>
      </c>
      <c r="B14" s="17"/>
      <c r="C14" s="17"/>
      <c r="D14" s="18"/>
      <c r="E14" s="19"/>
      <c r="F14" s="18"/>
      <c r="G14" s="20"/>
      <c r="H14" s="20"/>
      <c r="I14" s="20"/>
      <c r="J14" s="21">
        <f>IF(OR(C14="",G14=""),"",IF(I14&lt;&gt;"",I14,IF($F$7&lt;&gt;"",$F$7,TODAY()))-G14)</f>
      </c>
      <c r="K14" s="18"/>
      <c r="L14" s="17"/>
    </row>
    <row r="15" ht="18" customHeight="1" spans="1:12" x14ac:dyDescent="0.25">
      <c r="A15" s="16">
        <v>5</v>
      </c>
      <c r="B15" s="17"/>
      <c r="C15" s="17"/>
      <c r="D15" s="18"/>
      <c r="E15" s="19"/>
      <c r="F15" s="18"/>
      <c r="G15" s="20"/>
      <c r="H15" s="20"/>
      <c r="I15" s="20"/>
      <c r="J15" s="21">
        <f>IF(OR(C15="",G15=""),"",IF(I15&lt;&gt;"",I15,IF($F$7&lt;&gt;"",$F$7,TODAY()))-G15)</f>
      </c>
      <c r="K15" s="18"/>
      <c r="L15" s="17"/>
    </row>
    <row r="16" ht="18" customHeight="1" spans="1:12" x14ac:dyDescent="0.25">
      <c r="A16" s="16">
        <v>6</v>
      </c>
      <c r="B16" s="17"/>
      <c r="C16" s="17"/>
      <c r="D16" s="18"/>
      <c r="E16" s="19"/>
      <c r="F16" s="18"/>
      <c r="G16" s="20"/>
      <c r="H16" s="20"/>
      <c r="I16" s="20"/>
      <c r="J16" s="21">
        <f>IF(OR(C16="",G16=""),"",IF(I16&lt;&gt;"",I16,IF($F$7&lt;&gt;"",$F$7,TODAY()))-G16)</f>
      </c>
      <c r="K16" s="18"/>
      <c r="L16" s="17"/>
    </row>
    <row r="17" ht="18" customHeight="1" spans="1:12" x14ac:dyDescent="0.25">
      <c r="A17" s="16">
        <v>7</v>
      </c>
      <c r="B17" s="17"/>
      <c r="C17" s="17"/>
      <c r="D17" s="18"/>
      <c r="E17" s="19"/>
      <c r="F17" s="18"/>
      <c r="G17" s="20"/>
      <c r="H17" s="20"/>
      <c r="I17" s="20"/>
      <c r="J17" s="21">
        <f>IF(OR(C17="",G17=""),"",IF(I17&lt;&gt;"",I17,IF($F$7&lt;&gt;"",$F$7,TODAY()))-G17)</f>
      </c>
      <c r="K17" s="18"/>
      <c r="L17" s="17"/>
    </row>
    <row r="18" ht="18" customHeight="1" spans="1:12" x14ac:dyDescent="0.25">
      <c r="A18" s="16">
        <v>8</v>
      </c>
      <c r="B18" s="17"/>
      <c r="C18" s="17"/>
      <c r="D18" s="18"/>
      <c r="E18" s="19"/>
      <c r="F18" s="18"/>
      <c r="G18" s="20"/>
      <c r="H18" s="20"/>
      <c r="I18" s="20"/>
      <c r="J18" s="21">
        <f>IF(OR(C18="",G18=""),"",IF(I18&lt;&gt;"",I18,IF($F$7&lt;&gt;"",$F$7,TODAY()))-G18)</f>
      </c>
      <c r="K18" s="18"/>
      <c r="L18" s="17"/>
    </row>
    <row r="19" ht="18" customHeight="1" spans="1:12" x14ac:dyDescent="0.25">
      <c r="A19" s="16">
        <v>9</v>
      </c>
      <c r="B19" s="17"/>
      <c r="C19" s="17"/>
      <c r="D19" s="18"/>
      <c r="E19" s="19"/>
      <c r="F19" s="18"/>
      <c r="G19" s="20"/>
      <c r="H19" s="20"/>
      <c r="I19" s="20"/>
      <c r="J19" s="21">
        <f>IF(OR(C19="",G19=""),"",IF(I19&lt;&gt;"",I19,IF($F$7&lt;&gt;"",$F$7,TODAY()))-G19)</f>
      </c>
      <c r="K19" s="18"/>
      <c r="L19" s="17"/>
    </row>
    <row r="20" ht="18" customHeight="1" spans="1:12" x14ac:dyDescent="0.25">
      <c r="A20" s="16">
        <v>10</v>
      </c>
      <c r="B20" s="17"/>
      <c r="C20" s="17"/>
      <c r="D20" s="18"/>
      <c r="E20" s="19"/>
      <c r="F20" s="18"/>
      <c r="G20" s="20"/>
      <c r="H20" s="20"/>
      <c r="I20" s="20"/>
      <c r="J20" s="21">
        <f>IF(OR(C20="",G20=""),"",IF(I20&lt;&gt;"",I20,IF($F$7&lt;&gt;"",$F$7,TODAY()))-G20)</f>
      </c>
      <c r="K20" s="18"/>
      <c r="L20" s="17"/>
    </row>
    <row r="21" ht="18" customHeight="1" spans="1:12" x14ac:dyDescent="0.25">
      <c r="A21" s="16">
        <v>11</v>
      </c>
      <c r="B21" s="17"/>
      <c r="C21" s="17"/>
      <c r="D21" s="18"/>
      <c r="E21" s="19"/>
      <c r="F21" s="18"/>
      <c r="G21" s="20"/>
      <c r="H21" s="20"/>
      <c r="I21" s="20"/>
      <c r="J21" s="21">
        <f>IF(OR(C21="",G21=""),"",IF(I21&lt;&gt;"",I21,IF($F$7&lt;&gt;"",$F$7,TODAY()))-G21)</f>
      </c>
      <c r="K21" s="18"/>
      <c r="L21" s="17"/>
    </row>
    <row r="22" ht="18" customHeight="1" spans="1:12" x14ac:dyDescent="0.25">
      <c r="A22" s="16">
        <v>12</v>
      </c>
      <c r="B22" s="17"/>
      <c r="C22" s="17"/>
      <c r="D22" s="18"/>
      <c r="E22" s="19"/>
      <c r="F22" s="18"/>
      <c r="G22" s="20"/>
      <c r="H22" s="20"/>
      <c r="I22" s="20"/>
      <c r="J22" s="21">
        <f>IF(OR(C22="",G22=""),"",IF(I22&lt;&gt;"",I22,IF($F$7&lt;&gt;"",$F$7,TODAY()))-G22)</f>
      </c>
      <c r="K22" s="18"/>
      <c r="L22" s="17"/>
    </row>
    <row r="23" ht="18" customHeight="1" spans="1:12" x14ac:dyDescent="0.25">
      <c r="A23" s="16">
        <v>13</v>
      </c>
      <c r="B23" s="17"/>
      <c r="C23" s="17"/>
      <c r="D23" s="18"/>
      <c r="E23" s="19"/>
      <c r="F23" s="18"/>
      <c r="G23" s="20"/>
      <c r="H23" s="20"/>
      <c r="I23" s="20"/>
      <c r="J23" s="21">
        <f>IF(OR(C23="",G23=""),"",IF(I23&lt;&gt;"",I23,IF($F$7&lt;&gt;"",$F$7,TODAY()))-G23)</f>
      </c>
      <c r="K23" s="18"/>
      <c r="L23" s="17"/>
    </row>
    <row r="24" ht="18" customHeight="1" spans="1:12" x14ac:dyDescent="0.25">
      <c r="A24" s="16">
        <v>14</v>
      </c>
      <c r="B24" s="17"/>
      <c r="C24" s="17"/>
      <c r="D24" s="18"/>
      <c r="E24" s="19"/>
      <c r="F24" s="18"/>
      <c r="G24" s="20"/>
      <c r="H24" s="20"/>
      <c r="I24" s="20"/>
      <c r="J24" s="21">
        <f>IF(OR(C24="",G24=""),"",IF(I24&lt;&gt;"",I24,IF($F$7&lt;&gt;"",$F$7,TODAY()))-G24)</f>
      </c>
      <c r="K24" s="18"/>
      <c r="L24" s="17"/>
    </row>
    <row r="25" ht="18" customHeight="1" spans="1:12" x14ac:dyDescent="0.25">
      <c r="A25" s="16">
        <v>15</v>
      </c>
      <c r="B25" s="17"/>
      <c r="C25" s="17"/>
      <c r="D25" s="18"/>
      <c r="E25" s="19"/>
      <c r="F25" s="18"/>
      <c r="G25" s="20"/>
      <c r="H25" s="20"/>
      <c r="I25" s="20"/>
      <c r="J25" s="21">
        <f>IF(OR(C25="",G25=""),"",IF(I25&lt;&gt;"",I25,IF($F$7&lt;&gt;"",$F$7,TODAY()))-G25)</f>
      </c>
      <c r="K25" s="18"/>
      <c r="L25" s="17"/>
    </row>
    <row r="26" ht="18" customHeight="1" spans="1:12" x14ac:dyDescent="0.25">
      <c r="A26" s="16">
        <v>16</v>
      </c>
      <c r="B26" s="17"/>
      <c r="C26" s="17"/>
      <c r="D26" s="18"/>
      <c r="E26" s="19"/>
      <c r="F26" s="18"/>
      <c r="G26" s="20"/>
      <c r="H26" s="20"/>
      <c r="I26" s="20"/>
      <c r="J26" s="21">
        <f>IF(OR(C26="",G26=""),"",IF(I26&lt;&gt;"",I26,IF($F$7&lt;&gt;"",$F$7,TODAY()))-G26)</f>
      </c>
      <c r="K26" s="18"/>
      <c r="L26" s="17"/>
    </row>
    <row r="27" ht="18" customHeight="1" spans="1:12" x14ac:dyDescent="0.25">
      <c r="A27" s="16">
        <v>17</v>
      </c>
      <c r="B27" s="17"/>
      <c r="C27" s="17"/>
      <c r="D27" s="18"/>
      <c r="E27" s="19"/>
      <c r="F27" s="18"/>
      <c r="G27" s="20"/>
      <c r="H27" s="20"/>
      <c r="I27" s="20"/>
      <c r="J27" s="21">
        <f>IF(OR(C27="",G27=""),"",IF(I27&lt;&gt;"",I27,IF($F$7&lt;&gt;"",$F$7,TODAY()))-G27)</f>
      </c>
      <c r="K27" s="18"/>
      <c r="L27" s="17"/>
    </row>
    <row r="28" ht="18" customHeight="1" spans="1:12" x14ac:dyDescent="0.25">
      <c r="A28" s="16">
        <v>18</v>
      </c>
      <c r="B28" s="17"/>
      <c r="C28" s="17"/>
      <c r="D28" s="18"/>
      <c r="E28" s="19"/>
      <c r="F28" s="18"/>
      <c r="G28" s="20"/>
      <c r="H28" s="20"/>
      <c r="I28" s="20"/>
      <c r="J28" s="21">
        <f>IF(OR(C28="",G28=""),"",IF(I28&lt;&gt;"",I28,IF($F$7&lt;&gt;"",$F$7,TODAY()))-G28)</f>
      </c>
      <c r="K28" s="18"/>
      <c r="L28" s="17"/>
    </row>
    <row r="29" ht="18" customHeight="1" spans="1:12" x14ac:dyDescent="0.25">
      <c r="A29" s="16">
        <v>19</v>
      </c>
      <c r="B29" s="17"/>
      <c r="C29" s="17"/>
      <c r="D29" s="18"/>
      <c r="E29" s="19"/>
      <c r="F29" s="18"/>
      <c r="G29" s="20"/>
      <c r="H29" s="20"/>
      <c r="I29" s="20"/>
      <c r="J29" s="21">
        <f>IF(OR(C29="",G29=""),"",IF(I29&lt;&gt;"",I29,IF($F$7&lt;&gt;"",$F$7,TODAY()))-G29)</f>
      </c>
      <c r="K29" s="18"/>
      <c r="L29" s="17"/>
    </row>
    <row r="30" ht="18" customHeight="1" spans="1:12" x14ac:dyDescent="0.25">
      <c r="A30" s="16">
        <v>20</v>
      </c>
      <c r="B30" s="17"/>
      <c r="C30" s="17"/>
      <c r="D30" s="18"/>
      <c r="E30" s="19"/>
      <c r="F30" s="18"/>
      <c r="G30" s="20"/>
      <c r="H30" s="20"/>
      <c r="I30" s="20"/>
      <c r="J30" s="21">
        <f>IF(OR(C30="",G30=""),"",IF(I30&lt;&gt;"",I30,IF($F$7&lt;&gt;"",$F$7,TODAY()))-G30)</f>
      </c>
      <c r="K30" s="18"/>
      <c r="L30" s="17"/>
    </row>
    <row r="31" ht="18" customHeight="1" spans="1:12" x14ac:dyDescent="0.25">
      <c r="A31" s="16">
        <v>21</v>
      </c>
      <c r="B31" s="17"/>
      <c r="C31" s="17"/>
      <c r="D31" s="18"/>
      <c r="E31" s="19"/>
      <c r="F31" s="18"/>
      <c r="G31" s="20"/>
      <c r="H31" s="20"/>
      <c r="I31" s="20"/>
      <c r="J31" s="21">
        <f>IF(OR(C31="",G31=""),"",IF(I31&lt;&gt;"",I31,IF($F$7&lt;&gt;"",$F$7,TODAY()))-G31)</f>
      </c>
      <c r="K31" s="18"/>
      <c r="L31" s="17"/>
    </row>
    <row r="32" ht="18" customHeight="1" spans="1:12" x14ac:dyDescent="0.25">
      <c r="A32" s="16">
        <v>22</v>
      </c>
      <c r="B32" s="17"/>
      <c r="C32" s="17"/>
      <c r="D32" s="18"/>
      <c r="E32" s="19"/>
      <c r="F32" s="18"/>
      <c r="G32" s="20"/>
      <c r="H32" s="20"/>
      <c r="I32" s="20"/>
      <c r="J32" s="21">
        <f>IF(OR(C32="",G32=""),"",IF(I32&lt;&gt;"",I32,IF($F$7&lt;&gt;"",$F$7,TODAY()))-G32)</f>
      </c>
      <c r="K32" s="18"/>
      <c r="L32" s="17"/>
    </row>
    <row r="33" ht="18" customHeight="1" spans="1:12" x14ac:dyDescent="0.25">
      <c r="A33" s="16">
        <v>23</v>
      </c>
      <c r="B33" s="17"/>
      <c r="C33" s="17"/>
      <c r="D33" s="18"/>
      <c r="E33" s="19"/>
      <c r="F33" s="18"/>
      <c r="G33" s="20"/>
      <c r="H33" s="20"/>
      <c r="I33" s="20"/>
      <c r="J33" s="21">
        <f>IF(OR(C33="",G33=""),"",IF(I33&lt;&gt;"",I33,IF($F$7&lt;&gt;"",$F$7,TODAY()))-G33)</f>
      </c>
      <c r="K33" s="18"/>
      <c r="L33" s="17"/>
    </row>
    <row r="34" ht="18" customHeight="1" spans="1:12" x14ac:dyDescent="0.25">
      <c r="A34" s="16">
        <v>24</v>
      </c>
      <c r="B34" s="17"/>
      <c r="C34" s="17"/>
      <c r="D34" s="18"/>
      <c r="E34" s="19"/>
      <c r="F34" s="18"/>
      <c r="G34" s="20"/>
      <c r="H34" s="20"/>
      <c r="I34" s="20"/>
      <c r="J34" s="21">
        <f>IF(OR(C34="",G34=""),"",IF(I34&lt;&gt;"",I34,IF($F$7&lt;&gt;"",$F$7,TODAY()))-G34)</f>
      </c>
      <c r="K34" s="18"/>
      <c r="L34" s="17"/>
    </row>
    <row r="35" ht="18" customHeight="1" spans="1:12" x14ac:dyDescent="0.25">
      <c r="A35" s="16">
        <v>25</v>
      </c>
      <c r="B35" s="17"/>
      <c r="C35" s="17"/>
      <c r="D35" s="18"/>
      <c r="E35" s="19"/>
      <c r="F35" s="18"/>
      <c r="G35" s="20"/>
      <c r="H35" s="20"/>
      <c r="I35" s="20"/>
      <c r="J35" s="21">
        <f>IF(OR(C35="",G35=""),"",IF(I35&lt;&gt;"",I35,IF($F$7&lt;&gt;"",$F$7,TODAY()))-G35)</f>
      </c>
      <c r="K35" s="18"/>
      <c r="L35" s="17"/>
    </row>
    <row r="36" ht="18" customHeight="1" spans="1:12" x14ac:dyDescent="0.25">
      <c r="A36" s="16">
        <v>26</v>
      </c>
      <c r="B36" s="17"/>
      <c r="C36" s="17"/>
      <c r="D36" s="18"/>
      <c r="E36" s="19"/>
      <c r="F36" s="18"/>
      <c r="G36" s="20"/>
      <c r="H36" s="20"/>
      <c r="I36" s="20"/>
      <c r="J36" s="21">
        <f>IF(OR(C36="",G36=""),"",IF(I36&lt;&gt;"",I36,IF($F$7&lt;&gt;"",$F$7,TODAY()))-G36)</f>
      </c>
      <c r="K36" s="18"/>
      <c r="L36" s="17"/>
    </row>
    <row r="37" ht="18" customHeight="1" spans="1:12" x14ac:dyDescent="0.25">
      <c r="A37" s="16">
        <v>27</v>
      </c>
      <c r="B37" s="17"/>
      <c r="C37" s="17"/>
      <c r="D37" s="18"/>
      <c r="E37" s="19"/>
      <c r="F37" s="18"/>
      <c r="G37" s="20"/>
      <c r="H37" s="20"/>
      <c r="I37" s="20"/>
      <c r="J37" s="21">
        <f>IF(OR(C37="",G37=""),"",IF(I37&lt;&gt;"",I37,IF($F$7&lt;&gt;"",$F$7,TODAY()))-G37)</f>
      </c>
      <c r="K37" s="18"/>
      <c r="L37" s="17"/>
    </row>
    <row r="38" ht="18" customHeight="1" spans="1:12" x14ac:dyDescent="0.25">
      <c r="A38" s="16">
        <v>28</v>
      </c>
      <c r="B38" s="17"/>
      <c r="C38" s="17"/>
      <c r="D38" s="18"/>
      <c r="E38" s="19"/>
      <c r="F38" s="18"/>
      <c r="G38" s="20"/>
      <c r="H38" s="20"/>
      <c r="I38" s="20"/>
      <c r="J38" s="21">
        <f>IF(OR(C38="",G38=""),"",IF(I38&lt;&gt;"",I38,IF($F$7&lt;&gt;"",$F$7,TODAY()))-G38)</f>
      </c>
      <c r="K38" s="18"/>
      <c r="L38" s="17"/>
    </row>
    <row r="39" ht="18" customHeight="1" spans="1:12" x14ac:dyDescent="0.25">
      <c r="A39" s="16">
        <v>29</v>
      </c>
      <c r="B39" s="17"/>
      <c r="C39" s="17"/>
      <c r="D39" s="18"/>
      <c r="E39" s="19"/>
      <c r="F39" s="18"/>
      <c r="G39" s="20"/>
      <c r="H39" s="20"/>
      <c r="I39" s="20"/>
      <c r="J39" s="21">
        <f>IF(OR(C39="",G39=""),"",IF(I39&lt;&gt;"",I39,IF($F$7&lt;&gt;"",$F$7,TODAY()))-G39)</f>
      </c>
      <c r="K39" s="18"/>
      <c r="L39" s="17"/>
    </row>
    <row r="40" ht="18" customHeight="1" spans="1:12" x14ac:dyDescent="0.25">
      <c r="A40" s="16">
        <v>30</v>
      </c>
      <c r="B40" s="17"/>
      <c r="C40" s="17"/>
      <c r="D40" s="18"/>
      <c r="E40" s="19"/>
      <c r="F40" s="18"/>
      <c r="G40" s="20"/>
      <c r="H40" s="20"/>
      <c r="I40" s="20"/>
      <c r="J40" s="21">
        <f>IF(OR(C40="",G40=""),"",IF(I40&lt;&gt;"",I40,IF($F$7&lt;&gt;"",$F$7,TODAY()))-G40)</f>
      </c>
      <c r="K40" s="18"/>
      <c r="L40" s="17"/>
    </row>
    <row r="41" ht="18" customHeight="1" spans="1:12" x14ac:dyDescent="0.25">
      <c r="A41" s="16">
        <v>31</v>
      </c>
      <c r="B41" s="17"/>
      <c r="C41" s="17"/>
      <c r="D41" s="18"/>
      <c r="E41" s="19"/>
      <c r="F41" s="18"/>
      <c r="G41" s="20"/>
      <c r="H41" s="20"/>
      <c r="I41" s="20"/>
      <c r="J41" s="21">
        <f>IF(OR(C41="",G41=""),"",IF(I41&lt;&gt;"",I41,IF($F$7&lt;&gt;"",$F$7,TODAY()))-G41)</f>
      </c>
      <c r="K41" s="18"/>
      <c r="L41" s="17"/>
    </row>
    <row r="42" ht="18" customHeight="1" spans="1:12" x14ac:dyDescent="0.25">
      <c r="A42" s="16">
        <v>32</v>
      </c>
      <c r="B42" s="17"/>
      <c r="C42" s="17"/>
      <c r="D42" s="18"/>
      <c r="E42" s="19"/>
      <c r="F42" s="18"/>
      <c r="G42" s="20"/>
      <c r="H42" s="20"/>
      <c r="I42" s="20"/>
      <c r="J42" s="21">
        <f>IF(OR(C42="",G42=""),"",IF(I42&lt;&gt;"",I42,IF($F$7&lt;&gt;"",$F$7,TODAY()))-G42)</f>
      </c>
      <c r="K42" s="18"/>
      <c r="L42" s="17"/>
    </row>
    <row r="43" ht="18" customHeight="1" spans="1:12" x14ac:dyDescent="0.25">
      <c r="A43" s="16">
        <v>33</v>
      </c>
      <c r="B43" s="17"/>
      <c r="C43" s="17"/>
      <c r="D43" s="18"/>
      <c r="E43" s="19"/>
      <c r="F43" s="18"/>
      <c r="G43" s="20"/>
      <c r="H43" s="20"/>
      <c r="I43" s="20"/>
      <c r="J43" s="21">
        <f>IF(OR(C43="",G43=""),"",IF(I43&lt;&gt;"",I43,IF($F$7&lt;&gt;"",$F$7,TODAY()))-G43)</f>
      </c>
      <c r="K43" s="18"/>
      <c r="L43" s="17"/>
    </row>
    <row r="44" ht="18" customHeight="1" spans="1:12" x14ac:dyDescent="0.25">
      <c r="A44" s="16">
        <v>34</v>
      </c>
      <c r="B44" s="17"/>
      <c r="C44" s="17"/>
      <c r="D44" s="18"/>
      <c r="E44" s="19"/>
      <c r="F44" s="18"/>
      <c r="G44" s="20"/>
      <c r="H44" s="20"/>
      <c r="I44" s="20"/>
      <c r="J44" s="21">
        <f>IF(OR(C44="",G44=""),"",IF(I44&lt;&gt;"",I44,IF($F$7&lt;&gt;"",$F$7,TODAY()))-G44)</f>
      </c>
      <c r="K44" s="18"/>
      <c r="L44" s="17"/>
    </row>
    <row r="45" ht="18" customHeight="1" spans="1:12" x14ac:dyDescent="0.25">
      <c r="A45" s="16">
        <v>35</v>
      </c>
      <c r="B45" s="17"/>
      <c r="C45" s="17"/>
      <c r="D45" s="18"/>
      <c r="E45" s="19"/>
      <c r="F45" s="18"/>
      <c r="G45" s="20"/>
      <c r="H45" s="20"/>
      <c r="I45" s="20"/>
      <c r="J45" s="21">
        <f>IF(OR(C45="",G45=""),"",IF(I45&lt;&gt;"",I45,IF($F$7&lt;&gt;"",$F$7,TODAY()))-G45)</f>
      </c>
      <c r="K45" s="18"/>
      <c r="L45" s="17"/>
    </row>
    <row r="46" ht="18" customHeight="1" spans="1:12" x14ac:dyDescent="0.25">
      <c r="A46" s="16">
        <v>36</v>
      </c>
      <c r="B46" s="17"/>
      <c r="C46" s="17"/>
      <c r="D46" s="18"/>
      <c r="E46" s="19"/>
      <c r="F46" s="18"/>
      <c r="G46" s="20"/>
      <c r="H46" s="20"/>
      <c r="I46" s="20"/>
      <c r="J46" s="21">
        <f>IF(OR(C46="",G46=""),"",IF(I46&lt;&gt;"",I46,IF($F$7&lt;&gt;"",$F$7,TODAY()))-G46)</f>
      </c>
      <c r="K46" s="18"/>
      <c r="L46" s="17"/>
    </row>
    <row r="47" ht="18" customHeight="1" spans="1:12" x14ac:dyDescent="0.25">
      <c r="A47" s="16">
        <v>37</v>
      </c>
      <c r="B47" s="17"/>
      <c r="C47" s="17"/>
      <c r="D47" s="18"/>
      <c r="E47" s="19"/>
      <c r="F47" s="18"/>
      <c r="G47" s="20"/>
      <c r="H47" s="20"/>
      <c r="I47" s="20"/>
      <c r="J47" s="21">
        <f>IF(OR(C47="",G47=""),"",IF(I47&lt;&gt;"",I47,IF($F$7&lt;&gt;"",$F$7,TODAY()))-G47)</f>
      </c>
      <c r="K47" s="18"/>
      <c r="L47" s="17"/>
    </row>
    <row r="48" ht="18" customHeight="1" spans="1:12" x14ac:dyDescent="0.25">
      <c r="A48" s="16">
        <v>38</v>
      </c>
      <c r="B48" s="17"/>
      <c r="C48" s="17"/>
      <c r="D48" s="18"/>
      <c r="E48" s="19"/>
      <c r="F48" s="18"/>
      <c r="G48" s="20"/>
      <c r="H48" s="20"/>
      <c r="I48" s="20"/>
      <c r="J48" s="21">
        <f>IF(OR(C48="",G48=""),"",IF(I48&lt;&gt;"",I48,IF($F$7&lt;&gt;"",$F$7,TODAY()))-G48)</f>
      </c>
      <c r="K48" s="18"/>
      <c r="L48" s="17"/>
    </row>
    <row r="49" ht="18" customHeight="1" spans="1:12" x14ac:dyDescent="0.25">
      <c r="A49" s="16">
        <v>39</v>
      </c>
      <c r="B49" s="17"/>
      <c r="C49" s="17"/>
      <c r="D49" s="18"/>
      <c r="E49" s="19"/>
      <c r="F49" s="18"/>
      <c r="G49" s="20"/>
      <c r="H49" s="20"/>
      <c r="I49" s="20"/>
      <c r="J49" s="21">
        <f>IF(OR(C49="",G49=""),"",IF(I49&lt;&gt;"",I49,IF($F$7&lt;&gt;"",$F$7,TODAY()))-G49)</f>
      </c>
      <c r="K49" s="18"/>
      <c r="L49" s="17"/>
    </row>
    <row r="50" ht="18" customHeight="1" spans="1:12" x14ac:dyDescent="0.25">
      <c r="A50" s="16">
        <v>40</v>
      </c>
      <c r="B50" s="17"/>
      <c r="C50" s="17"/>
      <c r="D50" s="18"/>
      <c r="E50" s="19"/>
      <c r="F50" s="18"/>
      <c r="G50" s="20"/>
      <c r="H50" s="20"/>
      <c r="I50" s="20"/>
      <c r="J50" s="21">
        <f>IF(OR(C50="",G50=""),"",IF(I50&lt;&gt;"",I50,IF($F$7&lt;&gt;"",$F$7,TODAY()))-G50)</f>
      </c>
      <c r="K50" s="18"/>
      <c r="L50" s="17"/>
    </row>
    <row r="51" ht="22" customHeight="1" spans="1:12" x14ac:dyDescent="0.25">
      <c r="A51" s="22" t="s">
        <v>28</v>
      </c>
      <c r="B51" s="22" t="s">
        <v>29</v>
      </c>
      <c r="C51" s="22">
        <f>"Items on list: "&amp;COUNTA(C11:C50)</f>
      </c>
      <c r="D51" s="22"/>
      <c r="E51" s="23">
        <f>COUNTIF(E11:E50,"High")&amp;" high"</f>
      </c>
      <c r="F51" s="22">
        <f>COUNTIF(F11:F50,"Complete")&amp;" complete"</f>
      </c>
      <c r="G51" s="22"/>
      <c r="H51" s="23">
        <f>COUNTIFS(H11:H50,"&lt;"&amp;IF($F$7&lt;&gt;"",$F$7,TODAY()),F11:F50,"&lt;&gt;Complete")&amp;" overdue"</f>
      </c>
      <c r="I51" s="22"/>
      <c r="J51" s="24">
        <f>IF(COUNT(J11:J50)=0,"",ROUND(AVERAGE(J11:J50),0))</f>
      </c>
      <c r="K51" s="25" t="s">
        <v>30</v>
      </c>
      <c r="L51" s="22"/>
    </row>
    <row r="53" ht="30" customHeight="1" spans="1:12" x14ac:dyDescent="0.25">
      <c r="A53" s="26" t="s">
        <v>31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5" ht="26" customHeight="1" spans="1:12" x14ac:dyDescent="0.25">
      <c r="A55" s="27" t="s">
        <v>32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</row>
  </sheetData>
  <mergeCells count="9">
    <mergeCell ref="J1:L1"/>
    <mergeCell ref="A6:B6"/>
    <mergeCell ref="D6:E6"/>
    <mergeCell ref="A7:B7"/>
    <mergeCell ref="D7:E7"/>
    <mergeCell ref="A8:B8"/>
    <mergeCell ref="D8:E8"/>
    <mergeCell ref="A53:L53"/>
    <mergeCell ref="A55:L55"/>
  </mergeCells>
  <conditionalFormatting sqref="F11:F50">
    <cfRule type="containsText" dxfId="0" priority="1">
      <formula>NOT(ISERROR(SEARCH("Complete",F11)))</formula>
    </cfRule>
    <cfRule type="containsText" dxfId="1" priority="2">
      <formula>NOT(ISERROR(SEARCH("Ready for Review",F11)))</formula>
    </cfRule>
    <cfRule type="containsText" dxfId="2" priority="3">
      <formula>NOT(ISERROR(SEARCH("Open",F11)))</formula>
    </cfRule>
  </conditionalFormatting>
  <conditionalFormatting sqref="E11:E50">
    <cfRule type="containsText" dxfId="3" priority="1">
      <formula>NOT(ISERROR(SEARCH("High",E11)))</formula>
    </cfRule>
  </conditionalFormatting>
  <conditionalFormatting sqref="H11:H50">
    <cfRule type="expression" dxfId="4" priority="1">
      <formula>AND($H11&lt;&gt;"",$F11&lt;&gt;"Complete",$H11&lt;IF($F$7&lt;&gt;"",$F$7,TODAY()))</formula>
    </cfRule>
  </conditionalFormatting>
  <dataValidations count="2">
    <dataValidation type="list" allowBlank="1" showErrorMessage="1" errorTitle="Pick from the list" error="Choose one of: High, Med, Low" sqref="E11:E50">
      <formula1>"High,Med,Low"</formula1>
    </dataValidation>
    <dataValidation type="list" allowBlank="1" showErrorMessage="1" errorTitle="Pick from the list" error="Choose one of: Open, Ready for Review, Complete" sqref="F11:F50">
      <formula1>"Open,Ready for Review,Complete"</formula1>
    </dataValidation>
  </dataValidations>
  <hyperlinks>
    <hyperlink ref="A55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0"/>
  <headerFooter>
    <oddFooter>&amp;L&amp;8&amp;K8B93A1Free template by BuildWorkPro · buildworkpro.com/templates&amp;C&amp;8&amp;K8B93A1Punch List&amp;R&amp;8&amp;K8B93A1Page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33</v>
      </c>
    </row>
    <row r="2" ht="6" customHeight="1" spans="1:2" x14ac:dyDescent="0.25">
      <c r="A2" s="4"/>
      <c r="B2" s="4"/>
    </row>
    <row r="4" ht="30" customHeight="1" spans="1:2" x14ac:dyDescent="0.25">
      <c r="A4" s="28" t="s">
        <v>34</v>
      </c>
      <c r="B4" s="29" t="s">
        <v>35</v>
      </c>
    </row>
    <row r="5" ht="30" customHeight="1" spans="1:2" x14ac:dyDescent="0.25">
      <c r="A5" s="28" t="s">
        <v>36</v>
      </c>
      <c r="B5" s="29" t="s">
        <v>37</v>
      </c>
    </row>
    <row r="6" ht="30" customHeight="1" spans="1:2" x14ac:dyDescent="0.25">
      <c r="A6" s="28" t="s">
        <v>38</v>
      </c>
      <c r="B6" s="29" t="s">
        <v>39</v>
      </c>
    </row>
    <row r="7" ht="30" customHeight="1" spans="1:2" x14ac:dyDescent="0.25">
      <c r="A7" s="28" t="s">
        <v>40</v>
      </c>
      <c r="B7" s="29" t="s">
        <v>41</v>
      </c>
    </row>
    <row r="8" ht="30" customHeight="1" spans="1:2" x14ac:dyDescent="0.25">
      <c r="A8" s="28" t="s">
        <v>42</v>
      </c>
      <c r="B8" s="29" t="s">
        <v>43</v>
      </c>
    </row>
    <row r="9" ht="30" customHeight="1" spans="1:2" x14ac:dyDescent="0.25">
      <c r="A9" s="28" t="s">
        <v>44</v>
      </c>
      <c r="B9" s="29" t="s">
        <v>45</v>
      </c>
    </row>
    <row r="11" spans="2:2" x14ac:dyDescent="0.25">
      <c r="B11" s="30" t="s">
        <v>46</v>
      </c>
    </row>
    <row r="12" ht="30" customHeight="1" spans="1:2" x14ac:dyDescent="0.25">
      <c r="A12" s="31" t="s">
        <v>47</v>
      </c>
      <c r="B12" s="32" t="s">
        <v>48</v>
      </c>
    </row>
    <row r="13" ht="30" customHeight="1" spans="1:2" x14ac:dyDescent="0.25">
      <c r="A13" s="31" t="s">
        <v>47</v>
      </c>
      <c r="B13" s="32" t="s">
        <v>49</v>
      </c>
    </row>
    <row r="14" ht="30" customHeight="1" spans="1:2" x14ac:dyDescent="0.25">
      <c r="A14" s="31" t="s">
        <v>47</v>
      </c>
      <c r="B14" s="32" t="s">
        <v>50</v>
      </c>
    </row>
    <row r="15" ht="30" customHeight="1" spans="1:2" x14ac:dyDescent="0.25">
      <c r="A15" s="31" t="s">
        <v>47</v>
      </c>
      <c r="B15" s="32" t="s">
        <v>51</v>
      </c>
    </row>
    <row r="17" ht="44" customHeight="1" spans="1:2" x14ac:dyDescent="0.25">
      <c r="A17" s="26" t="s">
        <v>52</v>
      </c>
      <c r="B17" s="26"/>
    </row>
    <row r="18" spans="2:2" x14ac:dyDescent="0.25">
      <c r="B18" s="33" t="s">
        <v>53</v>
      </c>
    </row>
    <row r="20" ht="78" customHeight="1" spans="1:2" x14ac:dyDescent="0.25">
      <c r="A20" s="27" t="s">
        <v>54</v>
      </c>
      <c r="B20" s="27"/>
    </row>
  </sheetData>
  <mergeCells count="2">
    <mergeCell ref="A17:B17"/>
    <mergeCell ref="A20:B20"/>
  </mergeCells>
  <hyperlinks>
    <hyperlink ref="B18" r:id="rId1"/>
    <hyperlink ref="A20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Punch List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Construction Punch List Template</dc:title>
  <dc:subject>Construction Punch List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