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ay Application" state="visible" r:id="rId4"/>
    <sheet sheetId="2" name="Continuation Sheet" state="visible" r:id="rId5"/>
    <sheet sheetId="3" name="How to Use" state="visible" r:id="rId6"/>
  </sheets>
  <definedNames>
    <definedName name="_xlnm.Print_Area" localSheetId="0">'Pay Application'!$A1:$F55</definedName>
    <definedName name="_xlnm.Print_Area" localSheetId="1">'Continuation Sheet'!$A1:$J35</definedName>
    <definedName name="_xlnm.Print_Titles" localSheetId="1">'Continuation Sheet'!$7:$7</definedName>
  </definedNames>
  <calcPr calcId="171027" fullCalcOnLoad="1"/>
</workbook>
</file>

<file path=xl/sharedStrings.xml><?xml version="1.0" encoding="utf-8"?>
<sst xmlns="http://schemas.openxmlformats.org/spreadsheetml/2006/main" count="119" uniqueCount="105">
  <si>
    <t>Application and Certificate for Payment</t>
  </si>
  <si>
    <t>Not an AIA document · Print: fits one page</t>
  </si>
  <si>
    <t>Progress billing summary. Lines 4 to 9 compute from the Continuation Sheet; the retainage rate on line 5 drives every line.</t>
  </si>
  <si>
    <t>Amber cells are yours to fill in. Everything else calculates.</t>
  </si>
  <si>
    <t>FROM (CONTRACTOR — YOUR COMPANY)</t>
  </si>
  <si>
    <t>APPLICATION</t>
  </si>
  <si>
    <t>Company</t>
  </si>
  <si>
    <t>Application no.</t>
  </si>
  <si>
    <t>Address</t>
  </si>
  <si>
    <t>Period from</t>
  </si>
  <si>
    <t>Phone · email · license</t>
  </si>
  <si>
    <t>Period to</t>
  </si>
  <si>
    <t>TO (OWNER / GENERAL CONTRACTOR)</t>
  </si>
  <si>
    <t>PROJECT</t>
  </si>
  <si>
    <t>Project name</t>
  </si>
  <si>
    <t>Site address</t>
  </si>
  <si>
    <t>Contact</t>
  </si>
  <si>
    <t>Project no.</t>
  </si>
  <si>
    <t>CONTRACT</t>
  </si>
  <si>
    <t>CERTIFICATION</t>
  </si>
  <si>
    <t>Contract date</t>
  </si>
  <si>
    <t>Application date</t>
  </si>
  <si>
    <t>Contract for</t>
  </si>
  <si>
    <t>Submitted by</t>
  </si>
  <si>
    <t>Via architect / engineer</t>
  </si>
  <si>
    <t>Distribution to</t>
  </si>
  <si>
    <t>CONTRACTOR'S APPLICATION FOR PAYMENT</t>
  </si>
  <si>
    <t>The contractor applies for payment as shown below for work completed and materials presently stored through the period to date.</t>
  </si>
  <si>
    <t>1.  Original contract sum</t>
  </si>
  <si>
    <t>2.  Net change by change orders</t>
  </si>
  <si>
    <t>net of the change order summary below</t>
  </si>
  <si>
    <t>3.  Contract sum to date</t>
  </si>
  <si>
    <t>Line 1 + 2</t>
  </si>
  <si>
    <t>4.  Total completed and stored to date</t>
  </si>
  <si>
    <t>Continuation Sheet, column G total (D + E + F)</t>
  </si>
  <si>
    <t>5.  Retainage rate — edit; applies to every line</t>
  </si>
  <si>
    <t xml:space="preserve">        a. Retainage on completed work (columns D + E)</t>
  </si>
  <si>
    <t xml:space="preserve">        b. Retainage on stored material (column F)</t>
  </si>
  <si>
    <t xml:space="preserve">        Total retainage (a + b)</t>
  </si>
  <si>
    <t>6.  Total earned less retainage</t>
  </si>
  <si>
    <t>Line 4 − 5</t>
  </si>
  <si>
    <t>7.  Less previous certificates for payment</t>
  </si>
  <si>
    <t>enter line 6 of your previous application (0 on application no. 1)</t>
  </si>
  <si>
    <t>8.  Current payment due</t>
  </si>
  <si>
    <t>Line 6 − 7</t>
  </si>
  <si>
    <t>9.  Balance to finish, including retainage</t>
  </si>
  <si>
    <t>Line 3 − 6</t>
  </si>
  <si>
    <t>CHANGE ORDER SUMMARY</t>
  </si>
  <si>
    <t>CHANGE ORDERS APPROVED BY OWNER / GC</t>
  </si>
  <si>
    <t/>
  </si>
  <si>
    <t>ADDITIONS</t>
  </si>
  <si>
    <t>DEDUCTIONS</t>
  </si>
  <si>
    <t>Total approved in previous months</t>
  </si>
  <si>
    <t>Total approved this month</t>
  </si>
  <si>
    <t>list the CO numbers approved this period in the amber cell above</t>
  </si>
  <si>
    <t>Totals</t>
  </si>
  <si>
    <t>Net change by change orders (additions − deductions) → line 2</t>
  </si>
  <si>
    <t>CONTRACTOR'S CERTIFICATION</t>
  </si>
  <si>
    <t>I certify that the work covered by this application has been completed as described on the continuation sheet, that amounts previously certified have been paid, and that the current payment shown is now due.</t>
  </si>
  <si>
    <t>CONTRACTOR</t>
  </si>
  <si>
    <t>CERTIFIED BY (OWNER / GENERAL CONTRACTOR)</t>
  </si>
  <si>
    <t>SIGNATURE</t>
  </si>
  <si>
    <t>PRINTED NAME / TITLE</t>
  </si>
  <si>
    <t>DATE</t>
  </si>
  <si>
    <t>Free template by BuildWorkPro — buildworkpro.com/templates. Formatted to standard progress-billing conventions. Not an AIA document — confirm with your general contractor which form they require.</t>
  </si>
  <si>
    <t>Continuation Sheet</t>
  </si>
  <si>
    <t>Print: landscape, one page wide</t>
  </si>
  <si>
    <t>Schedule of values — one row per line item. Columns G to J calculate; the retainage rate comes from line 5 of the Pay Application sheet.</t>
  </si>
  <si>
    <t>Retainage rate</t>
  </si>
  <si>
    <t>Contract sum to date</t>
  </si>
  <si>
    <t xml:space="preserve">A
ITEM NO.</t>
  </si>
  <si>
    <t xml:space="preserve">B
DESCRIPTION OF WORK</t>
  </si>
  <si>
    <t xml:space="preserve">C
SCHEDULED VALUE</t>
  </si>
  <si>
    <t xml:space="preserve">D
FROM PREVIOUS APPLICATIONS (D + E OF PRIOR)</t>
  </si>
  <si>
    <t xml:space="preserve">E
THIS PERIOD</t>
  </si>
  <si>
    <t xml:space="preserve">F
MATERIALS PRESENTLY STORED (NOT IN D OR E)</t>
  </si>
  <si>
    <t xml:space="preserve">G
TOTAL COMPLETED &amp; STORED TO DATE (D + E + F)</t>
  </si>
  <si>
    <t xml:space="preserve">H
% (G ÷ C)</t>
  </si>
  <si>
    <t xml:space="preserve">I
BALANCE TO FINISH (C − G)</t>
  </si>
  <si>
    <t>RETAINAGE (RATE × G)</t>
  </si>
  <si>
    <t>Grand total</t>
  </si>
  <si>
    <t>Tie-out: column C total − contract sum to date (must be 0.00)</t>
  </si>
  <si>
    <t>Roll forward to the next application: once this application is approved, add each row's This Period (E) into From Previous Applications (D) as a value and clear E. Material that was stored (F) and has since been installed leaves F and is billed in E. Then change the application number and period dates on the Pay Application sheet, and enter this application's line 6 on the new line 7.</t>
  </si>
  <si>
    <t>Free template by BuildWorkPro — buildworkpro.com/templates. Column G is line 4 on the Pay Application; the retainage total is line 5. Change orders become new rows — use the CO number as the item number.</t>
  </si>
  <si>
    <t>How to use the Pay Application Template</t>
  </si>
  <si>
    <t>1.</t>
  </si>
  <si>
    <t>Fill in the header on the Pay Application sheet: your company, the owner or GC you bill, the project, and the application number and billing period. Amber cells are inputs.</t>
  </si>
  <si>
    <t>2.</t>
  </si>
  <si>
    <t>Enter line 1, the original contract sum. Line 2 comes from the change order summary lower on the sheet — enter approved change orders as additions and deductions, split between previous months and this month.</t>
  </si>
  <si>
    <t>3.</t>
  </si>
  <si>
    <t>Set the retainage rate on line 5 (10% is the default; 5% is common; some contracts step down after 50% complete). It drives the retainage column on the Continuation Sheet and lines 5a, 5b, 6 and 8.</t>
  </si>
  <si>
    <t>4.</t>
  </si>
  <si>
    <t>On the Continuation Sheet, list your schedule of values — one row per line item, scheduled value in column C. The tie-out cell under the grand total must read 0.00: the scheduled values have to add up to the contract sum to date.</t>
  </si>
  <si>
    <t>5.</t>
  </si>
  <si>
    <t>Each billing period enter This Period (E) and Materials Presently Stored (F) per row. Columns G to J, the grand total, and lines 4 to 9 calculate. Line 7 is the one number you type in from last period: its line 6.</t>
  </si>
  <si>
    <t>6.</t>
  </si>
  <si>
    <t>Print both sheets (each fits one page), sign the certification, and send. Then roll forward: D = D + E, clear E, update F, bump the application number, and enter last period’s line 6 on line 7.</t>
  </si>
  <si>
    <t>TIPS FROM THE FIELD</t>
  </si>
  <si>
    <t>•</t>
  </si>
  <si>
    <t>Keep the item numbers identical to your schedule of values and add approved change orders as new rows with the CO number as the item number — the GC traces every dollar back to a signed document.</t>
  </si>
  <si>
    <t>Stored materials need backup: invoices, a bill of sale or delivery ticket, and proof of insurance on the stored items. Bill them in F only until they are installed, then move them to E.</t>
  </si>
  <si>
    <t>Line 8 is what you get paid. If the GC certifies a different amount, the difference is what to reconcile before the next application — do not let it drift.</t>
  </si>
  <si>
    <t>In BuildWorkPro the schedule of values prefills from your accepted bid and approved change orders, previous applications lock and carry forward automatically, retainage is a field on every pay app, and the PDF emails to your GC from the app.</t>
  </si>
  <si>
    <t>https://buildworkpro.com/features/pay-applications/</t>
  </si>
  <si>
    <t>Free template by BuildWorkPro — https://buildworkpro.com/templates/. Free to use and share for your own business. Not legal, accounting or engineering advice.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</si>
</sst>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mmm d, yyyy"/>
    <numFmt numFmtId="165" formatCode="&quot;$&quot;#,##0.00;[Red]-&quot;$&quot;#,##0.00"/>
    <numFmt numFmtId="166" formatCode="0.0%"/>
    <numFmt numFmtId="167" formatCode="&quot;$&quot;#,##0.00;[Red]-&quot;$&quot;#,##0.00;&quot;&quot;"/>
    <numFmt numFmtId="168" formatCode="0.0%;-0.0%;&quot;&quot;"/>
  </numFmts>
  <fonts count="19" x14ac:knownFonts="1">
    <font>
      <color theme="1"/>
      <family val="2"/>
      <scheme val="minor"/>
      <sz val="11"/>
      <name val="Calibri"/>
    </font>
    <font>
      <b/>
      <color rgb="FF1B1F24"/>
      <sz val="20"/>
      <name val="Calibri"/>
    </font>
    <font>
      <color rgb="FF4A5260"/>
      <sz val="10"/>
      <name val="Calibri"/>
    </font>
    <font>
      <i/>
      <color rgb="FF4A5260"/>
      <sz val="9"/>
      <name val="Calibri"/>
    </font>
    <font>
      <color rgb="FF1B1F24"/>
      <sz val="10"/>
      <name val="Calibri"/>
    </font>
    <font>
      <i/>
      <color rgb="FF4A5260"/>
      <sz val="8.5"/>
      <name val="Calibri"/>
    </font>
    <font>
      <b/>
      <color rgb="FF8B93A1"/>
      <sz val="7.5"/>
      <name val="Calibri"/>
    </font>
    <font>
      <color rgb="FF4A5260"/>
      <sz val="9"/>
      <name val="Calibri"/>
    </font>
    <font>
      <b/>
      <color rgb="FF1B1F24"/>
      <sz val="8"/>
      <name val="Calibri"/>
    </font>
    <font>
      <i/>
      <color rgb="FF8B93A1"/>
      <sz val="8"/>
      <name val="Calibri"/>
    </font>
    <font>
      <b/>
      <color rgb="FF1B1F24"/>
      <sz val="10"/>
      <name val="Calibri"/>
    </font>
    <font>
      <b/>
      <color rgb="FF1B1F24"/>
      <sz val="9"/>
      <name val="Calibri"/>
    </font>
    <font>
      <b/>
      <color rgb="FF4A5260"/>
      <sz val="7.5"/>
      <name val="Calibri"/>
    </font>
    <font>
      <i/>
      <color rgb="FF8B93A1"/>
      <sz val="7.5"/>
      <name val="Calibri"/>
    </font>
    <font>
      <b/>
      <color rgb="FF4A5260"/>
      <sz val="8"/>
      <name val="Calibri"/>
    </font>
    <font>
      <color rgb="FF8B93A1"/>
      <sz val="7"/>
      <name val="Calibri"/>
    </font>
    <font>
      <color rgb="FF8B93A1"/>
      <sz val="8"/>
      <name val="Calibri"/>
    </font>
    <font>
      <b/>
      <color rgb="FF4A5260"/>
      <sz val="10"/>
      <name val="Calibri"/>
    </font>
    <font>
      <u/>
      <color rgb="FF2563EB"/>
      <sz val="9"/>
      <name val="Calibri"/>
    </font>
  </fonts>
  <fills count="4">
    <fill>
      <patternFill patternType="none"/>
    </fill>
    <fill>
      <patternFill patternType="gray125"/>
    </fill>
    <fill>
      <patternFill patternType="solid">
        <fgColor rgb="FFFFFBEB"/>
      </patternFill>
    </fill>
    <fill>
      <patternFill patternType="solid">
        <fgColor rgb="FFF3F5F8"/>
      </patternFill>
    </fill>
  </fills>
  <borders count="9">
    <border>
      <left/>
      <right/>
      <top/>
      <bottom/>
      <diagonal/>
    </border>
    <border>
      <left/>
      <right/>
      <top/>
      <bottom style="medium">
        <color rgb="FF2563EB"/>
      </bottom>
      <diagonal/>
    </border>
    <border>
      <left/>
      <right/>
      <top/>
      <bottom style="thin">
        <color rgb="FF8B93A1"/>
      </bottom>
      <diagonal/>
    </border>
    <border>
      <left/>
      <right/>
      <top/>
      <bottom style="thin">
        <color rgb="FF1B1F24"/>
      </bottom>
      <diagonal/>
    </border>
    <border>
      <left/>
      <right/>
      <top/>
      <bottom style="thin">
        <color rgb="FFD7DCE3"/>
      </bottom>
      <diagonal/>
    </border>
    <border>
      <left style="medium">
        <color rgb="FF1B1F24"/>
      </left>
      <right style="medium">
        <color rgb="FF1B1F24"/>
      </right>
      <top style="medium">
        <color rgb="FF1B1F24"/>
      </top>
      <bottom style="medium">
        <color rgb="FF1B1F24"/>
      </bottom>
      <diagonal/>
    </border>
    <border>
      <left/>
      <right/>
      <top style="thin">
        <color rgb="FFD7DCE3"/>
      </top>
      <bottom style="thin">
        <color rgb="FF4A5260"/>
      </bottom>
      <diagonal/>
    </border>
    <border>
      <left/>
      <right/>
      <top style="medium">
        <color rgb="FF1B1F24"/>
      </top>
      <bottom style="thin">
        <color rgb="FFD7DCE3"/>
      </bottom>
      <diagonal/>
    </border>
    <border>
      <left style="medium">
        <color rgb="FF2563EB"/>
      </left>
      <right/>
      <top/>
      <bottom/>
      <diagonal/>
    </border>
  </borders>
  <cellStyleXfs count="1">
    <xf numFmtId="0" fontId="0" fillId="0" borderId="0"/>
  </cellStyleXfs>
  <cellXfs count="52">
    <xf numFmtId="0" fontId="0" fillId="0" borderId="0" xfId="0"/>
    <xf numFmtId="0" fontId="1" fillId="0" borderId="0" xfId="0" applyFont="1" applyAlignment="1">
      <alignment vertical="center"/>
    </xf>
    <xf numFmtId="0" fontId="2" fillId="0" borderId="0" xfId="0" applyFont="1" applyAlignment="1">
      <alignment horizontal="right" vertical="center"/>
    </xf>
    <xf numFmtId="0" fontId="3" fillId="0" borderId="0" xfId="0" applyFont="1"/>
    <xf numFmtId="0" fontId="0" fillId="0" borderId="1" xfId="0" applyBorder="1"/>
    <xf numFmtId="0" fontId="4" fillId="2" borderId="2" xfId="0" applyFont="1" applyFill="1" applyBorder="1"/>
    <xf numFmtId="0" fontId="5" fillId="0" borderId="0" xfId="0" applyFont="1" applyAlignment="1">
      <alignment vertical="center"/>
    </xf>
    <xf numFmtId="0" fontId="6" fillId="0" borderId="0" xfId="0" applyFont="1"/>
    <xf numFmtId="0" fontId="7" fillId="0" borderId="0" xfId="0" applyFont="1" applyAlignment="1">
      <alignment vertical="center"/>
    </xf>
    <xf numFmtId="0" fontId="4" fillId="2" borderId="2" xfId="0" applyFont="1" applyFill="1" applyBorder="1" applyAlignment="1">
      <alignment horizontal="left" vertical="center"/>
    </xf>
    <xf numFmtId="164" fontId="4" fillId="2" borderId="2" xfId="0" applyNumberFormat="1" applyFont="1" applyFill="1" applyBorder="1" applyAlignment="1">
      <alignment horizontal="left" vertical="center"/>
    </xf>
    <xf numFmtId="0" fontId="8" fillId="0" borderId="3" xfId="0" applyFont="1" applyBorder="1" applyAlignment="1">
      <alignment vertical="bottom"/>
    </xf>
    <xf numFmtId="0" fontId="5" fillId="0" borderId="0" xfId="0" applyFont="1" applyAlignment="1">
      <alignment horizontal="left" vertical="top" wrapText="1"/>
    </xf>
    <xf numFmtId="0" fontId="4" fillId="0" borderId="0" xfId="0" applyFont="1" applyAlignment="1">
      <alignment horizontal="left" vertical="top"/>
    </xf>
    <xf numFmtId="165" fontId="4" fillId="2" borderId="2" xfId="0" applyNumberFormat="1" applyFont="1" applyFill="1" applyBorder="1" applyAlignment="1">
      <alignment horizontal="right" vertical="center"/>
    </xf>
    <xf numFmtId="0" fontId="9" fillId="0" borderId="0" xfId="0" applyFont="1" applyAlignment="1">
      <alignment horizontal="right" vertical="top"/>
    </xf>
    <xf numFmtId="165" fontId="4" fillId="0" borderId="4" xfId="0" applyNumberFormat="1" applyFont="1" applyBorder="1" applyAlignment="1">
      <alignment horizontal="right" vertical="center"/>
    </xf>
    <xf numFmtId="0" fontId="10" fillId="0" borderId="0" xfId="0" applyFont="1" applyAlignment="1">
      <alignment horizontal="left" vertical="top"/>
    </xf>
    <xf numFmtId="165" fontId="10" fillId="0" borderId="4" xfId="0" applyNumberFormat="1" applyFont="1" applyBorder="1" applyAlignment="1">
      <alignment horizontal="right" vertical="center"/>
    </xf>
    <xf numFmtId="166" fontId="4" fillId="2" borderId="2" xfId="0" applyNumberFormat="1" applyFont="1" applyFill="1" applyBorder="1" applyAlignment="1">
      <alignment horizontal="right" vertical="center"/>
    </xf>
    <xf numFmtId="0" fontId="7" fillId="0" borderId="0" xfId="0" applyFont="1" applyAlignment="1">
      <alignment horizontal="left" vertical="top"/>
    </xf>
    <xf numFmtId="0" fontId="11" fillId="0" borderId="0" xfId="0" applyFont="1" applyAlignment="1">
      <alignment horizontal="left" vertical="top"/>
    </xf>
    <xf numFmtId="165" fontId="10" fillId="3" borderId="5" xfId="0" applyNumberFormat="1" applyFont="1" applyFill="1" applyBorder="1" applyAlignment="1">
      <alignment horizontal="right" vertical="center"/>
    </xf>
    <xf numFmtId="0" fontId="12" fillId="3" borderId="6" xfId="0" applyFont="1" applyFill="1" applyBorder="1" applyAlignment="1">
      <alignment horizontal="left" vertical="bottom" wrapText="1"/>
    </xf>
    <xf numFmtId="0" fontId="12" fillId="3" borderId="6" xfId="0" applyFont="1" applyFill="1" applyBorder="1" applyAlignment="1">
      <alignment horizontal="right" vertical="bottom" wrapText="1"/>
    </xf>
    <xf numFmtId="0" fontId="4" fillId="0" borderId="4" xfId="0" applyFont="1" applyBorder="1" applyAlignment="1">
      <alignment horizontal="left" vertical="center"/>
    </xf>
    <xf numFmtId="167" fontId="4" fillId="2" borderId="4" xfId="0" applyNumberFormat="1" applyFont="1" applyFill="1" applyBorder="1" applyAlignment="1">
      <alignment horizontal="right" vertical="center"/>
    </xf>
    <xf numFmtId="0" fontId="4" fillId="2" borderId="4" xfId="0" applyFont="1" applyFill="1" applyBorder="1" applyAlignment="1">
      <alignment horizontal="left" vertical="center" wrapText="1"/>
    </xf>
    <xf numFmtId="0" fontId="13" fillId="0" borderId="0" xfId="0" applyFont="1" applyAlignment="1">
      <alignment horizontal="left" vertical="top"/>
    </xf>
    <xf numFmtId="0" fontId="10" fillId="0" borderId="7" xfId="0" applyFont="1" applyBorder="1" applyAlignment="1">
      <alignment horizontal="left" vertical="center"/>
    </xf>
    <xf numFmtId="165" fontId="10" fillId="0" borderId="7" xfId="0" applyNumberFormat="1" applyFont="1" applyBorder="1" applyAlignment="1">
      <alignment horizontal="right" vertical="center"/>
    </xf>
    <xf numFmtId="0" fontId="7" fillId="3" borderId="8" xfId="0" applyFont="1" applyFill="1" applyBorder="1" applyAlignment="1">
      <alignment vertical="center" wrapText="1" indent="1"/>
    </xf>
    <xf numFmtId="0" fontId="14" fillId="0" borderId="0" xfId="0" applyFont="1"/>
    <xf numFmtId="0" fontId="4" fillId="0" borderId="3" xfId="0" applyFont="1" applyBorder="1"/>
    <xf numFmtId="0" fontId="15" fillId="0" borderId="0" xfId="0" applyFont="1"/>
    <xf numFmtId="0" fontId="16" fillId="0" borderId="0" xfId="0" applyFont="1" applyAlignment="1">
      <alignment vertical="top" wrapText="1"/>
    </xf>
    <xf numFmtId="0" fontId="7" fillId="0" borderId="0" xfId="0" applyFont="1" applyAlignment="1">
      <alignment horizontal="right" vertical="top"/>
    </xf>
    <xf numFmtId="0" fontId="10" fillId="0" borderId="0" xfId="0" applyFont="1" applyAlignment="1">
      <alignment horizontal="left" vertical="center"/>
    </xf>
    <xf numFmtId="164" fontId="4" fillId="0" borderId="0" xfId="0" applyNumberFormat="1" applyFont="1" applyAlignment="1">
      <alignment horizontal="left" vertical="center"/>
    </xf>
    <xf numFmtId="166" fontId="4" fillId="0" borderId="0" xfId="0" applyNumberFormat="1" applyFont="1" applyAlignment="1">
      <alignment horizontal="left" vertical="center"/>
    </xf>
    <xf numFmtId="165" fontId="4" fillId="0" borderId="0" xfId="0" applyNumberFormat="1" applyFont="1" applyAlignment="1">
      <alignment horizontal="left" vertical="center"/>
    </xf>
    <xf numFmtId="0" fontId="12" fillId="3" borderId="6" xfId="0" applyFont="1" applyFill="1" applyBorder="1" applyAlignment="1">
      <alignment horizontal="center" vertical="bottom" wrapText="1"/>
    </xf>
    <xf numFmtId="0" fontId="4" fillId="2" borderId="4" xfId="0" applyFont="1" applyFill="1" applyBorder="1" applyAlignment="1">
      <alignment horizontal="center" vertical="center"/>
    </xf>
    <xf numFmtId="167" fontId="4" fillId="0" borderId="4" xfId="0" applyNumberFormat="1" applyFont="1" applyBorder="1" applyAlignment="1">
      <alignment horizontal="right" vertical="center"/>
    </xf>
    <xf numFmtId="168" fontId="4" fillId="0" borderId="4" xfId="0" applyNumberFormat="1" applyFont="1" applyBorder="1" applyAlignment="1">
      <alignment horizontal="right" vertical="center"/>
    </xf>
    <xf numFmtId="168" fontId="10" fillId="0" borderId="7" xfId="0" applyNumberFormat="1" applyFont="1" applyBorder="1" applyAlignment="1">
      <alignment horizontal="right" vertical="center"/>
    </xf>
    <xf numFmtId="165" fontId="4" fillId="0" borderId="0" xfId="0" applyNumberFormat="1" applyFont="1" applyAlignment="1">
      <alignment horizontal="right" vertical="center"/>
    </xf>
    <xf numFmtId="0" fontId="17" fillId="0" borderId="0" xfId="0" applyFont="1" applyAlignment="1">
      <alignment horizontal="right" vertical="top"/>
    </xf>
    <xf numFmtId="0" fontId="4" fillId="0" borderId="0" xfId="0" applyFont="1" applyAlignment="1">
      <alignment horizontal="left" vertical="top" wrapText="1"/>
    </xf>
    <xf numFmtId="0" fontId="2" fillId="0" borderId="0" xfId="0" applyFont="1" applyAlignment="1">
      <alignment horizontal="right" vertical="top"/>
    </xf>
    <xf numFmtId="0" fontId="2" fillId="0" borderId="0" xfId="0" applyFont="1" applyAlignment="1">
      <alignment horizontal="left" vertical="top" wrapText="1"/>
    </xf>
    <xf numFmtId="0" fontId="18" fillId="0" borderId="0" xfId="0" applyFont="1"/>
  </cellXfs>
  <cellStyles count="1">
    <cellStyle name="Normal" xfId="0" builtinId="0"/>
  </cellStyles>
  <dxfs count="1">
    <dxf>
      <font>
        <b/>
        <color rgb="FFB3261E"/>
      </font>
      <fill>
        <patternFill patternType="solid">
          <bgColor rgb="FFFDE8E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buildworkpro.com/template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buildworkpro.com/template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buildworkpro.com/features/pay-applications/" TargetMode="External"/><Relationship Id="rId2" Type="http://schemas.openxmlformats.org/officeDocument/2006/relationships/hyperlink" Target="https://buildworkpro.com/templa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55"/>
  <sheetViews>
    <sheetView workbookViewId="0" showGridLines="0"/>
  </sheetViews>
  <sheetFormatPr defaultRowHeight="15" outlineLevelRow="0" outlineLevelCol="0" x14ac:dyDescent="55"/>
  <cols>
    <col min="1" max="1" width="34" customWidth="1"/>
    <col min="2" max="3" width="13" customWidth="1"/>
    <col min="4" max="4" width="17" customWidth="1"/>
    <col min="5" max="5" width="13" customWidth="1"/>
    <col min="6" max="6" width="17" customWidth="1"/>
  </cols>
  <sheetData>
    <row r="1" ht="30" customHeight="1" spans="1:6" x14ac:dyDescent="0.25">
      <c r="A1" s="1" t="s">
        <v>0</v>
      </c>
      <c r="D1" s="2" t="s">
        <v>1</v>
      </c>
      <c r="E1" s="2"/>
      <c r="F1" s="2"/>
    </row>
    <row r="2" spans="1:1" x14ac:dyDescent="0.25">
      <c r="A2" s="3" t="s">
        <v>2</v>
      </c>
    </row>
    <row r="3" ht="6" customHeight="1" spans="1:6" x14ac:dyDescent="0.25">
      <c r="A3" s="4"/>
      <c r="B3" s="4"/>
      <c r="C3" s="4"/>
      <c r="D3" s="4"/>
      <c r="E3" s="4"/>
      <c r="F3" s="4"/>
    </row>
    <row r="4" spans="1:2" x14ac:dyDescent="0.25">
      <c r="A4" s="5"/>
      <c r="B4" s="6" t="s">
        <v>3</v>
      </c>
    </row>
    <row r="6" spans="1:4" x14ac:dyDescent="0.25">
      <c r="A6" s="7" t="s">
        <v>4</v>
      </c>
      <c r="D6" s="7" t="s">
        <v>5</v>
      </c>
    </row>
    <row r="7" spans="1:6" x14ac:dyDescent="0.25">
      <c r="A7" s="8" t="s">
        <v>6</v>
      </c>
      <c r="B7" s="9"/>
      <c r="C7" s="9"/>
      <c r="D7" s="8" t="s">
        <v>7</v>
      </c>
      <c r="E7" s="9"/>
      <c r="F7" s="9"/>
    </row>
    <row r="8" spans="1:6" x14ac:dyDescent="0.25">
      <c r="A8" s="8" t="s">
        <v>8</v>
      </c>
      <c r="B8" s="9"/>
      <c r="C8" s="9"/>
      <c r="D8" s="8" t="s">
        <v>9</v>
      </c>
      <c r="E8" s="10"/>
      <c r="F8" s="10"/>
    </row>
    <row r="9" spans="1:6" x14ac:dyDescent="0.25">
      <c r="A9" s="8" t="s">
        <v>10</v>
      </c>
      <c r="B9" s="9"/>
      <c r="C9" s="9"/>
      <c r="D9" s="8" t="s">
        <v>11</v>
      </c>
      <c r="E9" s="10"/>
      <c r="F9" s="10"/>
    </row>
    <row r="11" spans="1:4" x14ac:dyDescent="0.25">
      <c r="A11" s="7" t="s">
        <v>12</v>
      </c>
      <c r="D11" s="7" t="s">
        <v>13</v>
      </c>
    </row>
    <row r="12" spans="1:6" x14ac:dyDescent="0.25">
      <c r="A12" s="8" t="s">
        <v>6</v>
      </c>
      <c r="B12" s="9"/>
      <c r="C12" s="9"/>
      <c r="D12" s="8" t="s">
        <v>14</v>
      </c>
      <c r="E12" s="9"/>
      <c r="F12" s="9"/>
    </row>
    <row r="13" spans="1:6" x14ac:dyDescent="0.25">
      <c r="A13" s="8" t="s">
        <v>8</v>
      </c>
      <c r="B13" s="9"/>
      <c r="C13" s="9"/>
      <c r="D13" s="8" t="s">
        <v>15</v>
      </c>
      <c r="E13" s="9"/>
      <c r="F13" s="9"/>
    </row>
    <row r="14" spans="1:6" x14ac:dyDescent="0.25">
      <c r="A14" s="8" t="s">
        <v>16</v>
      </c>
      <c r="B14" s="9"/>
      <c r="C14" s="9"/>
      <c r="D14" s="8" t="s">
        <v>17</v>
      </c>
      <c r="E14" s="9"/>
      <c r="F14" s="9"/>
    </row>
    <row r="16" spans="1:4" x14ac:dyDescent="0.25">
      <c r="A16" s="7" t="s">
        <v>18</v>
      </c>
      <c r="D16" s="7" t="s">
        <v>19</v>
      </c>
    </row>
    <row r="17" spans="1:6" x14ac:dyDescent="0.25">
      <c r="A17" s="8" t="s">
        <v>20</v>
      </c>
      <c r="B17" s="10"/>
      <c r="C17" s="10"/>
      <c r="D17" s="8" t="s">
        <v>21</v>
      </c>
      <c r="E17" s="10"/>
      <c r="F17" s="10"/>
    </row>
    <row r="18" spans="1:6" x14ac:dyDescent="0.25">
      <c r="A18" s="8" t="s">
        <v>22</v>
      </c>
      <c r="B18" s="9"/>
      <c r="C18" s="9"/>
      <c r="D18" s="8" t="s">
        <v>23</v>
      </c>
      <c r="E18" s="9"/>
      <c r="F18" s="9"/>
    </row>
    <row r="19" spans="1:6" x14ac:dyDescent="0.25">
      <c r="A19" s="8" t="s">
        <v>24</v>
      </c>
      <c r="B19" s="9"/>
      <c r="C19" s="9"/>
      <c r="D19" s="8" t="s">
        <v>25</v>
      </c>
      <c r="E19" s="9"/>
      <c r="F19" s="9"/>
    </row>
    <row r="21" ht="20" customHeight="1" spans="1:6" x14ac:dyDescent="0.25">
      <c r="A21" s="11" t="s">
        <v>26</v>
      </c>
      <c r="B21" s="11"/>
      <c r="C21" s="11"/>
      <c r="D21" s="11"/>
      <c r="E21" s="11"/>
      <c r="F21" s="11"/>
    </row>
    <row r="22" ht="26" customHeight="1" spans="1:6" x14ac:dyDescent="0.25">
      <c r="A22" s="12" t="s">
        <v>27</v>
      </c>
      <c r="B22" s="12"/>
      <c r="C22" s="12"/>
      <c r="D22" s="12"/>
      <c r="E22" s="12"/>
      <c r="F22" s="12"/>
    </row>
    <row r="23" ht="19" customHeight="1" spans="1:6" x14ac:dyDescent="0.25">
      <c r="A23" s="13" t="s">
        <v>28</v>
      </c>
      <c r="B23" s="13"/>
      <c r="C23" s="13"/>
      <c r="F23" s="14"/>
    </row>
    <row r="24" ht="19" customHeight="1" spans="1:6" x14ac:dyDescent="0.25">
      <c r="A24" s="13" t="s">
        <v>29</v>
      </c>
      <c r="B24" s="13"/>
      <c r="C24" s="13"/>
      <c r="D24" s="15" t="s">
        <v>30</v>
      </c>
      <c r="E24" s="15"/>
      <c r="F24" s="16">
        <f>F42</f>
      </c>
    </row>
    <row r="25" ht="19" customHeight="1" spans="1:6" x14ac:dyDescent="0.25">
      <c r="A25" s="17" t="s">
        <v>31</v>
      </c>
      <c r="B25" s="17"/>
      <c r="C25" s="17"/>
      <c r="D25" s="15" t="s">
        <v>32</v>
      </c>
      <c r="E25" s="15"/>
      <c r="F25" s="18">
        <f>F23+F24</f>
      </c>
    </row>
    <row r="26" ht="19" customHeight="1" spans="1:6" x14ac:dyDescent="0.25">
      <c r="A26" s="13" t="s">
        <v>33</v>
      </c>
      <c r="B26" s="13"/>
      <c r="C26" s="13"/>
      <c r="D26" s="15" t="s">
        <v>34</v>
      </c>
      <c r="E26" s="15"/>
      <c r="F26" s="16">
        <f>'Continuation Sheet'!G30</f>
      </c>
    </row>
    <row r="27" ht="19" customHeight="1" spans="1:6" x14ac:dyDescent="0.25">
      <c r="A27" s="13" t="s">
        <v>35</v>
      </c>
      <c r="B27" s="13"/>
      <c r="C27" s="13"/>
      <c r="F27" s="19">
        <v>0.1</v>
      </c>
    </row>
    <row r="28" ht="16" customHeight="1" spans="1:6" x14ac:dyDescent="0.25">
      <c r="A28" s="20" t="s">
        <v>36</v>
      </c>
      <c r="B28" s="20"/>
      <c r="C28" s="20"/>
      <c r="F28" s="16">
        <f>ROUND(('Continuation Sheet'!D30+'Continuation Sheet'!E30)*F27,2)</f>
      </c>
    </row>
    <row r="29" ht="16" customHeight="1" spans="1:6" x14ac:dyDescent="0.25">
      <c r="A29" s="20" t="s">
        <v>37</v>
      </c>
      <c r="B29" s="20"/>
      <c r="C29" s="20"/>
      <c r="F29" s="16">
        <f>ROUND('Continuation Sheet'!F30*F27,2)</f>
      </c>
    </row>
    <row r="30" ht="16" customHeight="1" spans="1:6" x14ac:dyDescent="0.25">
      <c r="A30" s="21" t="s">
        <v>38</v>
      </c>
      <c r="B30" s="21"/>
      <c r="C30" s="21"/>
      <c r="F30" s="18">
        <f>F28+F29</f>
      </c>
    </row>
    <row r="31" ht="19" customHeight="1" spans="1:6" x14ac:dyDescent="0.25">
      <c r="A31" s="13" t="s">
        <v>39</v>
      </c>
      <c r="B31" s="13"/>
      <c r="C31" s="13"/>
      <c r="D31" s="15" t="s">
        <v>40</v>
      </c>
      <c r="E31" s="15"/>
      <c r="F31" s="16">
        <f>F26-F30</f>
      </c>
    </row>
    <row r="32" ht="19" customHeight="1" spans="1:6" x14ac:dyDescent="0.25">
      <c r="A32" s="13" t="s">
        <v>41</v>
      </c>
      <c r="B32" s="13"/>
      <c r="C32" s="13"/>
      <c r="D32" s="15" t="s">
        <v>42</v>
      </c>
      <c r="E32" s="15"/>
      <c r="F32" s="14"/>
    </row>
    <row r="33" ht="19" customHeight="1" spans="1:6" x14ac:dyDescent="0.25">
      <c r="A33" s="17" t="s">
        <v>43</v>
      </c>
      <c r="B33" s="17"/>
      <c r="C33" s="17"/>
      <c r="D33" s="15" t="s">
        <v>44</v>
      </c>
      <c r="E33" s="15"/>
      <c r="F33" s="22">
        <f>F31-F32</f>
      </c>
    </row>
    <row r="34" ht="19" customHeight="1" spans="1:6" x14ac:dyDescent="0.25">
      <c r="A34" s="17" t="s">
        <v>45</v>
      </c>
      <c r="B34" s="17"/>
      <c r="C34" s="17"/>
      <c r="D34" s="15" t="s">
        <v>46</v>
      </c>
      <c r="E34" s="15"/>
      <c r="F34" s="18">
        <f>F25-F31</f>
      </c>
    </row>
    <row r="36" ht="20" customHeight="1" spans="1:6" x14ac:dyDescent="0.25">
      <c r="A36" s="11" t="s">
        <v>47</v>
      </c>
      <c r="B36" s="11"/>
      <c r="C36" s="11"/>
      <c r="D36" s="11"/>
      <c r="E36" s="11"/>
      <c r="F36" s="11"/>
    </row>
    <row r="37" ht="22" customHeight="1" spans="1:6" x14ac:dyDescent="0.25">
      <c r="A37" s="23" t="s">
        <v>48</v>
      </c>
      <c r="B37" s="23" t="s">
        <v>49</v>
      </c>
      <c r="C37" s="23" t="s">
        <v>49</v>
      </c>
      <c r="D37" s="23" t="s">
        <v>49</v>
      </c>
      <c r="E37" s="24" t="s">
        <v>50</v>
      </c>
      <c r="F37" s="24" t="s">
        <v>51</v>
      </c>
    </row>
    <row r="38" spans="1:6" x14ac:dyDescent="0.25">
      <c r="A38" s="25" t="s">
        <v>52</v>
      </c>
      <c r="B38" s="25"/>
      <c r="C38" s="25"/>
      <c r="D38" s="25"/>
      <c r="E38" s="26"/>
      <c r="F38" s="26"/>
    </row>
    <row r="39" spans="1:6" x14ac:dyDescent="0.25">
      <c r="A39" s="25" t="s">
        <v>53</v>
      </c>
      <c r="B39" s="27"/>
      <c r="C39" s="27"/>
      <c r="D39" s="27"/>
      <c r="E39" s="26"/>
      <c r="F39" s="26"/>
    </row>
    <row r="40" spans="2:4" x14ac:dyDescent="0.25">
      <c r="B40" s="28" t="s">
        <v>54</v>
      </c>
      <c r="C40" s="28"/>
      <c r="D40" s="28"/>
    </row>
    <row r="41" ht="22" customHeight="1" spans="1:6" x14ac:dyDescent="0.25">
      <c r="A41" s="29" t="s">
        <v>49</v>
      </c>
      <c r="B41" s="29" t="s">
        <v>55</v>
      </c>
      <c r="C41" s="29"/>
      <c r="D41" s="29"/>
      <c r="E41" s="30">
        <f>SUM(E38:E39)</f>
      </c>
      <c r="F41" s="30">
        <f>SUM(F38:F39)</f>
      </c>
    </row>
    <row r="42" spans="1:6" x14ac:dyDescent="0.25">
      <c r="A42" s="17" t="s">
        <v>56</v>
      </c>
      <c r="B42" s="17"/>
      <c r="C42" s="17"/>
      <c r="D42" s="17"/>
      <c r="F42" s="18">
        <f>E41-F41</f>
      </c>
    </row>
    <row r="44" ht="20" customHeight="1" spans="1:6" x14ac:dyDescent="0.25">
      <c r="A44" s="11" t="s">
        <v>57</v>
      </c>
      <c r="B44" s="11"/>
      <c r="C44" s="11"/>
      <c r="D44" s="11"/>
      <c r="E44" s="11"/>
      <c r="F44" s="11"/>
    </row>
    <row r="45" ht="32" customHeight="1" spans="1:6" x14ac:dyDescent="0.25">
      <c r="A45" s="31" t="s">
        <v>58</v>
      </c>
      <c r="B45" s="31"/>
      <c r="C45" s="31"/>
      <c r="D45" s="31"/>
      <c r="E45" s="31"/>
      <c r="F45" s="31"/>
    </row>
    <row r="47" spans="1:4" x14ac:dyDescent="0.25">
      <c r="A47" s="32" t="s">
        <v>59</v>
      </c>
      <c r="D47" s="32" t="s">
        <v>60</v>
      </c>
    </row>
    <row r="49" ht="22" customHeight="1" spans="1:6" x14ac:dyDescent="0.25">
      <c r="A49" s="33"/>
      <c r="B49" s="33"/>
      <c r="C49" s="33"/>
      <c r="D49" s="33"/>
      <c r="E49" s="33"/>
      <c r="F49" s="33"/>
    </row>
    <row r="50" spans="1:4" x14ac:dyDescent="0.25">
      <c r="A50" s="34" t="s">
        <v>61</v>
      </c>
      <c r="D50" s="34" t="s">
        <v>61</v>
      </c>
    </row>
    <row r="51" ht="22" customHeight="1" spans="1:6" x14ac:dyDescent="0.25">
      <c r="A51" s="33"/>
      <c r="B51" s="33"/>
      <c r="C51" s="33"/>
      <c r="D51" s="33"/>
      <c r="E51" s="33"/>
      <c r="F51" s="33"/>
    </row>
    <row r="52" spans="1:4" x14ac:dyDescent="0.25">
      <c r="A52" s="34" t="s">
        <v>62</v>
      </c>
      <c r="D52" s="34" t="s">
        <v>62</v>
      </c>
    </row>
    <row r="53" ht="22" customHeight="1" spans="1:6" x14ac:dyDescent="0.25">
      <c r="A53" s="33"/>
      <c r="B53" s="33"/>
      <c r="C53" s="33"/>
      <c r="D53" s="33"/>
      <c r="E53" s="33"/>
      <c r="F53" s="33"/>
    </row>
    <row r="54" spans="1:4" x14ac:dyDescent="0.25">
      <c r="A54" s="34" t="s">
        <v>63</v>
      </c>
      <c r="D54" s="34" t="s">
        <v>63</v>
      </c>
    </row>
    <row r="55" ht="39" customHeight="1" spans="1:6" x14ac:dyDescent="0.25">
      <c r="A55" s="35" t="s">
        <v>64</v>
      </c>
      <c r="B55" s="35"/>
      <c r="C55" s="35"/>
      <c r="D55" s="35"/>
      <c r="E55" s="35"/>
      <c r="F55" s="35"/>
    </row>
  </sheetData>
  <mergeCells count="50">
    <mergeCell ref="D1:F1"/>
    <mergeCell ref="B7:C7"/>
    <mergeCell ref="E7:F7"/>
    <mergeCell ref="B8:C8"/>
    <mergeCell ref="E8:F8"/>
    <mergeCell ref="B9:C9"/>
    <mergeCell ref="E9:F9"/>
    <mergeCell ref="B12:C12"/>
    <mergeCell ref="E12:F12"/>
    <mergeCell ref="B13:C13"/>
    <mergeCell ref="E13:F13"/>
    <mergeCell ref="B14:C14"/>
    <mergeCell ref="E14:F14"/>
    <mergeCell ref="B17:C17"/>
    <mergeCell ref="E17:F17"/>
    <mergeCell ref="B18:C18"/>
    <mergeCell ref="E18:F18"/>
    <mergeCell ref="B19:C19"/>
    <mergeCell ref="E19:F19"/>
    <mergeCell ref="A22:F22"/>
    <mergeCell ref="A23:C23"/>
    <mergeCell ref="A24:C24"/>
    <mergeCell ref="D24:E24"/>
    <mergeCell ref="A25:C25"/>
    <mergeCell ref="D25:E25"/>
    <mergeCell ref="A26:C26"/>
    <mergeCell ref="D26:E26"/>
    <mergeCell ref="A27:C27"/>
    <mergeCell ref="A28:C28"/>
    <mergeCell ref="A29:C29"/>
    <mergeCell ref="A30:C30"/>
    <mergeCell ref="A31:C31"/>
    <mergeCell ref="D31:E31"/>
    <mergeCell ref="A32:C32"/>
    <mergeCell ref="D32:E32"/>
    <mergeCell ref="A33:C33"/>
    <mergeCell ref="D33:E33"/>
    <mergeCell ref="A34:C34"/>
    <mergeCell ref="D34:E34"/>
    <mergeCell ref="B39:D39"/>
    <mergeCell ref="B40:D40"/>
    <mergeCell ref="A42:D42"/>
    <mergeCell ref="A45:F45"/>
    <mergeCell ref="A49:C49"/>
    <mergeCell ref="D49:F49"/>
    <mergeCell ref="A51:C51"/>
    <mergeCell ref="D51:F51"/>
    <mergeCell ref="A53:C53"/>
    <mergeCell ref="D53:F53"/>
    <mergeCell ref="A55:F55"/>
  </mergeCells>
  <dataValidations count="1">
    <dataValidation type="list" allowBlank="1" showErrorMessage="1" errorTitle="Pick from the list" error="Choose one of: Owner, Architect, Contractor, Field, Other" sqref="E19:F19">
      <formula1>"Owner,Architect,Contractor,Field,Other"</formula1>
    </dataValidation>
  </dataValidations>
  <hyperlinks>
    <hyperlink ref="A55" r:id="rId1"/>
  </hyperlinks>
  <printOptions horizontalCentered="1"/>
  <pageMargins left="0.5" right="0.5" top="0.6" bottom="0.6" header="0.3" footer="0.3"/>
  <pageSetup paperSize="1" orientation="portrait" horizontalDpi="4294967295" verticalDpi="4294967295" scale="100" fitToWidth="1" fitToHeight="1"/>
  <headerFooter>
    <oddFooter>&amp;L&amp;8&amp;K8B93A1Free template by BuildWorkPro · buildworkpro.com/templates&amp;C&amp;8&amp;K8B93A1Pay Application&amp;R&amp;8&amp;K8B93A1Page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5"/>
  <sheetViews>
    <sheetView workbookViewId="0" showGridLines="0">
      <pane ySplit="7" topLeftCell="A8" activePane="bottomLeft" state="frozen"/>
      <selection pane="bottomLeft"/>
    </sheetView>
  </sheetViews>
  <sheetFormatPr defaultRowHeight="15" outlineLevelRow="0" outlineLevelCol="0" x14ac:dyDescent="55"/>
  <cols>
    <col min="2" max="2" width="42" customWidth="1"/>
    <col min="3" max="6" width="14" customWidth="1"/>
    <col min="7" max="7" width="15" customWidth="1"/>
    <col min="8" max="8" width="8" customWidth="1"/>
    <col min="9" max="9" width="14" customWidth="1"/>
    <col min="10" max="10" width="13" customWidth="1"/>
  </cols>
  <sheetData>
    <row r="1" ht="30" customHeight="1" spans="1:10" x14ac:dyDescent="0.25">
      <c r="A1" s="1" t="s">
        <v>65</v>
      </c>
      <c r="H1" s="2" t="s">
        <v>66</v>
      </c>
      <c r="I1" s="2"/>
      <c r="J1" s="2"/>
    </row>
    <row r="2" spans="1:1" x14ac:dyDescent="0.25">
      <c r="A2" s="3" t="s">
        <v>67</v>
      </c>
    </row>
    <row r="3" ht="6" customHeight="1" spans="1:10" x14ac:dyDescent="0.25">
      <c r="A3" s="4"/>
      <c r="B3" s="4"/>
      <c r="C3" s="4"/>
      <c r="D3" s="4"/>
      <c r="E3" s="4"/>
      <c r="F3" s="4"/>
      <c r="G3" s="4"/>
      <c r="H3" s="4"/>
      <c r="I3" s="4"/>
      <c r="J3" s="4"/>
    </row>
    <row r="4" spans="1:10" x14ac:dyDescent="0.25">
      <c r="A4" s="5"/>
      <c r="B4" s="6" t="s">
        <v>3</v>
      </c>
      <c r="F4" s="36" t="s">
        <v>7</v>
      </c>
      <c r="G4" s="37">
        <f>IF('Pay Application'!E7="","",'Pay Application'!E7)</f>
      </c>
      <c r="I4" s="36" t="s">
        <v>11</v>
      </c>
      <c r="J4" s="38">
        <f>IF('Pay Application'!E9="","",'Pay Application'!E9)</f>
      </c>
    </row>
    <row r="5" spans="6:10" x14ac:dyDescent="0.25">
      <c r="F5" s="36" t="s">
        <v>68</v>
      </c>
      <c r="G5" s="39">
        <f>'Pay Application'!F27</f>
      </c>
      <c r="I5" s="36" t="s">
        <v>69</v>
      </c>
      <c r="J5" s="40">
        <f>'Pay Application'!F25</f>
      </c>
    </row>
    <row r="7" ht="48" customHeight="1" spans="1:10" x14ac:dyDescent="0.25">
      <c r="A7" s="41" t="s">
        <v>70</v>
      </c>
      <c r="B7" s="23" t="s">
        <v>71</v>
      </c>
      <c r="C7" s="24" t="s">
        <v>72</v>
      </c>
      <c r="D7" s="24" t="s">
        <v>73</v>
      </c>
      <c r="E7" s="24" t="s">
        <v>74</v>
      </c>
      <c r="F7" s="24" t="s">
        <v>75</v>
      </c>
      <c r="G7" s="24" t="s">
        <v>76</v>
      </c>
      <c r="H7" s="24" t="s">
        <v>77</v>
      </c>
      <c r="I7" s="24" t="s">
        <v>78</v>
      </c>
      <c r="J7" s="24" t="s">
        <v>79</v>
      </c>
    </row>
    <row r="8" spans="1:10" x14ac:dyDescent="0.25">
      <c r="A8" s="42"/>
      <c r="B8" s="27"/>
      <c r="C8" s="26"/>
      <c r="D8" s="26"/>
      <c r="E8" s="26"/>
      <c r="F8" s="26"/>
      <c r="G8" s="43">
        <f>IF($C8="","",D8+E8+F8)</f>
      </c>
      <c r="H8" s="44">
        <f>IF(OR($C8="",$C8=0),"",G8/C8)</f>
      </c>
      <c r="I8" s="43">
        <f>IF($C8="","",C8-G8)</f>
      </c>
      <c r="J8" s="43">
        <f>IF($C8="","",ROUND(G8*'Pay Application'!$F$27,2))</f>
      </c>
    </row>
    <row r="9" spans="1:10" x14ac:dyDescent="0.25">
      <c r="A9" s="42"/>
      <c r="B9" s="27"/>
      <c r="C9" s="26"/>
      <c r="D9" s="26"/>
      <c r="E9" s="26"/>
      <c r="F9" s="26"/>
      <c r="G9" s="43">
        <f>IF($C9="","",D9+E9+F9)</f>
      </c>
      <c r="H9" s="44">
        <f>IF(OR($C9="",$C9=0),"",G9/C9)</f>
      </c>
      <c r="I9" s="43">
        <f>IF($C9="","",C9-G9)</f>
      </c>
      <c r="J9" s="43">
        <f>IF($C9="","",ROUND(G9*'Pay Application'!$F$27,2))</f>
      </c>
    </row>
    <row r="10" spans="1:10" x14ac:dyDescent="0.25">
      <c r="A10" s="42"/>
      <c r="B10" s="27"/>
      <c r="C10" s="26"/>
      <c r="D10" s="26"/>
      <c r="E10" s="26"/>
      <c r="F10" s="26"/>
      <c r="G10" s="43">
        <f>IF($C10="","",D10+E10+F10)</f>
      </c>
      <c r="H10" s="44">
        <f>IF(OR($C10="",$C10=0),"",G10/C10)</f>
      </c>
      <c r="I10" s="43">
        <f>IF($C10="","",C10-G10)</f>
      </c>
      <c r="J10" s="43">
        <f>IF($C10="","",ROUND(G10*'Pay Application'!$F$27,2))</f>
      </c>
    </row>
    <row r="11" spans="1:10" x14ac:dyDescent="0.25">
      <c r="A11" s="42"/>
      <c r="B11" s="27"/>
      <c r="C11" s="26"/>
      <c r="D11" s="26"/>
      <c r="E11" s="26"/>
      <c r="F11" s="26"/>
      <c r="G11" s="43">
        <f>IF($C11="","",D11+E11+F11)</f>
      </c>
      <c r="H11" s="44">
        <f>IF(OR($C11="",$C11=0),"",G11/C11)</f>
      </c>
      <c r="I11" s="43">
        <f>IF($C11="","",C11-G11)</f>
      </c>
      <c r="J11" s="43">
        <f>IF($C11="","",ROUND(G11*'Pay Application'!$F$27,2))</f>
      </c>
    </row>
    <row r="12" spans="1:10" x14ac:dyDescent="0.25">
      <c r="A12" s="42"/>
      <c r="B12" s="27"/>
      <c r="C12" s="26"/>
      <c r="D12" s="26"/>
      <c r="E12" s="26"/>
      <c r="F12" s="26"/>
      <c r="G12" s="43">
        <f>IF($C12="","",D12+E12+F12)</f>
      </c>
      <c r="H12" s="44">
        <f>IF(OR($C12="",$C12=0),"",G12/C12)</f>
      </c>
      <c r="I12" s="43">
        <f>IF($C12="","",C12-G12)</f>
      </c>
      <c r="J12" s="43">
        <f>IF($C12="","",ROUND(G12*'Pay Application'!$F$27,2))</f>
      </c>
    </row>
    <row r="13" spans="1:10" x14ac:dyDescent="0.25">
      <c r="A13" s="42"/>
      <c r="B13" s="27"/>
      <c r="C13" s="26"/>
      <c r="D13" s="26"/>
      <c r="E13" s="26"/>
      <c r="F13" s="26"/>
      <c r="G13" s="43">
        <f>IF($C13="","",D13+E13+F13)</f>
      </c>
      <c r="H13" s="44">
        <f>IF(OR($C13="",$C13=0),"",G13/C13)</f>
      </c>
      <c r="I13" s="43">
        <f>IF($C13="","",C13-G13)</f>
      </c>
      <c r="J13" s="43">
        <f>IF($C13="","",ROUND(G13*'Pay Application'!$F$27,2))</f>
      </c>
    </row>
    <row r="14" spans="1:10" x14ac:dyDescent="0.25">
      <c r="A14" s="42"/>
      <c r="B14" s="27"/>
      <c r="C14" s="26"/>
      <c r="D14" s="26"/>
      <c r="E14" s="26"/>
      <c r="F14" s="26"/>
      <c r="G14" s="43">
        <f>IF($C14="","",D14+E14+F14)</f>
      </c>
      <c r="H14" s="44">
        <f>IF(OR($C14="",$C14=0),"",G14/C14)</f>
      </c>
      <c r="I14" s="43">
        <f>IF($C14="","",C14-G14)</f>
      </c>
      <c r="J14" s="43">
        <f>IF($C14="","",ROUND(G14*'Pay Application'!$F$27,2))</f>
      </c>
    </row>
    <row r="15" spans="1:10" x14ac:dyDescent="0.25">
      <c r="A15" s="42"/>
      <c r="B15" s="27"/>
      <c r="C15" s="26"/>
      <c r="D15" s="26"/>
      <c r="E15" s="26"/>
      <c r="F15" s="26"/>
      <c r="G15" s="43">
        <f>IF($C15="","",D15+E15+F15)</f>
      </c>
      <c r="H15" s="44">
        <f>IF(OR($C15="",$C15=0),"",G15/C15)</f>
      </c>
      <c r="I15" s="43">
        <f>IF($C15="","",C15-G15)</f>
      </c>
      <c r="J15" s="43">
        <f>IF($C15="","",ROUND(G15*'Pay Application'!$F$27,2))</f>
      </c>
    </row>
    <row r="16" spans="1:10" x14ac:dyDescent="0.25">
      <c r="A16" s="42"/>
      <c r="B16" s="27"/>
      <c r="C16" s="26"/>
      <c r="D16" s="26"/>
      <c r="E16" s="26"/>
      <c r="F16" s="26"/>
      <c r="G16" s="43">
        <f>IF($C16="","",D16+E16+F16)</f>
      </c>
      <c r="H16" s="44">
        <f>IF(OR($C16="",$C16=0),"",G16/C16)</f>
      </c>
      <c r="I16" s="43">
        <f>IF($C16="","",C16-G16)</f>
      </c>
      <c r="J16" s="43">
        <f>IF($C16="","",ROUND(G16*'Pay Application'!$F$27,2))</f>
      </c>
    </row>
    <row r="17" spans="1:10" x14ac:dyDescent="0.25">
      <c r="A17" s="42"/>
      <c r="B17" s="27"/>
      <c r="C17" s="26"/>
      <c r="D17" s="26"/>
      <c r="E17" s="26"/>
      <c r="F17" s="26"/>
      <c r="G17" s="43">
        <f>IF($C17="","",D17+E17+F17)</f>
      </c>
      <c r="H17" s="44">
        <f>IF(OR($C17="",$C17=0),"",G17/C17)</f>
      </c>
      <c r="I17" s="43">
        <f>IF($C17="","",C17-G17)</f>
      </c>
      <c r="J17" s="43">
        <f>IF($C17="","",ROUND(G17*'Pay Application'!$F$27,2))</f>
      </c>
    </row>
    <row r="18" spans="1:10" x14ac:dyDescent="0.25">
      <c r="A18" s="42"/>
      <c r="B18" s="27"/>
      <c r="C18" s="26"/>
      <c r="D18" s="26"/>
      <c r="E18" s="26"/>
      <c r="F18" s="26"/>
      <c r="G18" s="43">
        <f>IF($C18="","",D18+E18+F18)</f>
      </c>
      <c r="H18" s="44">
        <f>IF(OR($C18="",$C18=0),"",G18/C18)</f>
      </c>
      <c r="I18" s="43">
        <f>IF($C18="","",C18-G18)</f>
      </c>
      <c r="J18" s="43">
        <f>IF($C18="","",ROUND(G18*'Pay Application'!$F$27,2))</f>
      </c>
    </row>
    <row r="19" spans="1:10" x14ac:dyDescent="0.25">
      <c r="A19" s="42"/>
      <c r="B19" s="27"/>
      <c r="C19" s="26"/>
      <c r="D19" s="26"/>
      <c r="E19" s="26"/>
      <c r="F19" s="26"/>
      <c r="G19" s="43">
        <f>IF($C19="","",D19+E19+F19)</f>
      </c>
      <c r="H19" s="44">
        <f>IF(OR($C19="",$C19=0),"",G19/C19)</f>
      </c>
      <c r="I19" s="43">
        <f>IF($C19="","",C19-G19)</f>
      </c>
      <c r="J19" s="43">
        <f>IF($C19="","",ROUND(G19*'Pay Application'!$F$27,2))</f>
      </c>
    </row>
    <row r="20" spans="1:10" x14ac:dyDescent="0.25">
      <c r="A20" s="42"/>
      <c r="B20" s="27"/>
      <c r="C20" s="26"/>
      <c r="D20" s="26"/>
      <c r="E20" s="26"/>
      <c r="F20" s="26"/>
      <c r="G20" s="43">
        <f>IF($C20="","",D20+E20+F20)</f>
      </c>
      <c r="H20" s="44">
        <f>IF(OR($C20="",$C20=0),"",G20/C20)</f>
      </c>
      <c r="I20" s="43">
        <f>IF($C20="","",C20-G20)</f>
      </c>
      <c r="J20" s="43">
        <f>IF($C20="","",ROUND(G20*'Pay Application'!$F$27,2))</f>
      </c>
    </row>
    <row r="21" spans="1:10" x14ac:dyDescent="0.25">
      <c r="A21" s="42"/>
      <c r="B21" s="27"/>
      <c r="C21" s="26"/>
      <c r="D21" s="26"/>
      <c r="E21" s="26"/>
      <c r="F21" s="26"/>
      <c r="G21" s="43">
        <f>IF($C21="","",D21+E21+F21)</f>
      </c>
      <c r="H21" s="44">
        <f>IF(OR($C21="",$C21=0),"",G21/C21)</f>
      </c>
      <c r="I21" s="43">
        <f>IF($C21="","",C21-G21)</f>
      </c>
      <c r="J21" s="43">
        <f>IF($C21="","",ROUND(G21*'Pay Application'!$F$27,2))</f>
      </c>
    </row>
    <row r="22" spans="1:10" x14ac:dyDescent="0.25">
      <c r="A22" s="42"/>
      <c r="B22" s="27"/>
      <c r="C22" s="26"/>
      <c r="D22" s="26"/>
      <c r="E22" s="26"/>
      <c r="F22" s="26"/>
      <c r="G22" s="43">
        <f>IF($C22="","",D22+E22+F22)</f>
      </c>
      <c r="H22" s="44">
        <f>IF(OR($C22="",$C22=0),"",G22/C22)</f>
      </c>
      <c r="I22" s="43">
        <f>IF($C22="","",C22-G22)</f>
      </c>
      <c r="J22" s="43">
        <f>IF($C22="","",ROUND(G22*'Pay Application'!$F$27,2))</f>
      </c>
    </row>
    <row r="23" spans="1:10" x14ac:dyDescent="0.25">
      <c r="A23" s="42"/>
      <c r="B23" s="27"/>
      <c r="C23" s="26"/>
      <c r="D23" s="26"/>
      <c r="E23" s="26"/>
      <c r="F23" s="26"/>
      <c r="G23" s="43">
        <f>IF($C23="","",D23+E23+F23)</f>
      </c>
      <c r="H23" s="44">
        <f>IF(OR($C23="",$C23=0),"",G23/C23)</f>
      </c>
      <c r="I23" s="43">
        <f>IF($C23="","",C23-G23)</f>
      </c>
      <c r="J23" s="43">
        <f>IF($C23="","",ROUND(G23*'Pay Application'!$F$27,2))</f>
      </c>
    </row>
    <row r="24" spans="1:10" x14ac:dyDescent="0.25">
      <c r="A24" s="42"/>
      <c r="B24" s="27"/>
      <c r="C24" s="26"/>
      <c r="D24" s="26"/>
      <c r="E24" s="26"/>
      <c r="F24" s="26"/>
      <c r="G24" s="43">
        <f>IF($C24="","",D24+E24+F24)</f>
      </c>
      <c r="H24" s="44">
        <f>IF(OR($C24="",$C24=0),"",G24/C24)</f>
      </c>
      <c r="I24" s="43">
        <f>IF($C24="","",C24-G24)</f>
      </c>
      <c r="J24" s="43">
        <f>IF($C24="","",ROUND(G24*'Pay Application'!$F$27,2))</f>
      </c>
    </row>
    <row r="25" spans="1:10" x14ac:dyDescent="0.25">
      <c r="A25" s="42"/>
      <c r="B25" s="27"/>
      <c r="C25" s="26"/>
      <c r="D25" s="26"/>
      <c r="E25" s="26"/>
      <c r="F25" s="26"/>
      <c r="G25" s="43">
        <f>IF($C25="","",D25+E25+F25)</f>
      </c>
      <c r="H25" s="44">
        <f>IF(OR($C25="",$C25=0),"",G25/C25)</f>
      </c>
      <c r="I25" s="43">
        <f>IF($C25="","",C25-G25)</f>
      </c>
      <c r="J25" s="43">
        <f>IF($C25="","",ROUND(G25*'Pay Application'!$F$27,2))</f>
      </c>
    </row>
    <row r="26" spans="1:10" x14ac:dyDescent="0.25">
      <c r="A26" s="42"/>
      <c r="B26" s="27"/>
      <c r="C26" s="26"/>
      <c r="D26" s="26"/>
      <c r="E26" s="26"/>
      <c r="F26" s="26"/>
      <c r="G26" s="43">
        <f>IF($C26="","",D26+E26+F26)</f>
      </c>
      <c r="H26" s="44">
        <f>IF(OR($C26="",$C26=0),"",G26/C26)</f>
      </c>
      <c r="I26" s="43">
        <f>IF($C26="","",C26-G26)</f>
      </c>
      <c r="J26" s="43">
        <f>IF($C26="","",ROUND(G26*'Pay Application'!$F$27,2))</f>
      </c>
    </row>
    <row r="27" spans="1:10" x14ac:dyDescent="0.25">
      <c r="A27" s="42"/>
      <c r="B27" s="27"/>
      <c r="C27" s="26"/>
      <c r="D27" s="26"/>
      <c r="E27" s="26"/>
      <c r="F27" s="26"/>
      <c r="G27" s="43">
        <f>IF($C27="","",D27+E27+F27)</f>
      </c>
      <c r="H27" s="44">
        <f>IF(OR($C27="",$C27=0),"",G27/C27)</f>
      </c>
      <c r="I27" s="43">
        <f>IF($C27="","",C27-G27)</f>
      </c>
      <c r="J27" s="43">
        <f>IF($C27="","",ROUND(G27*'Pay Application'!$F$27,2))</f>
      </c>
    </row>
    <row r="28" spans="1:10" x14ac:dyDescent="0.25">
      <c r="A28" s="42"/>
      <c r="B28" s="27"/>
      <c r="C28" s="26"/>
      <c r="D28" s="26"/>
      <c r="E28" s="26"/>
      <c r="F28" s="26"/>
      <c r="G28" s="43">
        <f>IF($C28="","",D28+E28+F28)</f>
      </c>
      <c r="H28" s="44">
        <f>IF(OR($C28="",$C28=0),"",G28/C28)</f>
      </c>
      <c r="I28" s="43">
        <f>IF($C28="","",C28-G28)</f>
      </c>
      <c r="J28" s="43">
        <f>IF($C28="","",ROUND(G28*'Pay Application'!$F$27,2))</f>
      </c>
    </row>
    <row r="29" spans="1:10" x14ac:dyDescent="0.25">
      <c r="A29" s="42"/>
      <c r="B29" s="27"/>
      <c r="C29" s="26"/>
      <c r="D29" s="26"/>
      <c r="E29" s="26"/>
      <c r="F29" s="26"/>
      <c r="G29" s="43">
        <f>IF($C29="","",D29+E29+F29)</f>
      </c>
      <c r="H29" s="44">
        <f>IF(OR($C29="",$C29=0),"",G29/C29)</f>
      </c>
      <c r="I29" s="43">
        <f>IF($C29="","",C29-G29)</f>
      </c>
      <c r="J29" s="43">
        <f>IF($C29="","",ROUND(G29*'Pay Application'!$F$27,2))</f>
      </c>
    </row>
    <row r="30" ht="22" customHeight="1" spans="1:10" x14ac:dyDescent="0.25">
      <c r="A30" s="29" t="s">
        <v>49</v>
      </c>
      <c r="B30" s="29" t="s">
        <v>80</v>
      </c>
      <c r="C30" s="30">
        <f>SUM(C8:C29)</f>
      </c>
      <c r="D30" s="30">
        <f>SUM(D8:D29)</f>
      </c>
      <c r="E30" s="30">
        <f>SUM(E8:E29)</f>
      </c>
      <c r="F30" s="30">
        <f>SUM(F8:F29)</f>
      </c>
      <c r="G30" s="30">
        <f>SUM(G8:G29)</f>
      </c>
      <c r="H30" s="45">
        <f>IF(C30=0,"",G30/C30)</f>
      </c>
      <c r="I30" s="30">
        <f>SUM(I8:I29)</f>
      </c>
      <c r="J30" s="30">
        <f>SUM(J8:J29)</f>
      </c>
    </row>
    <row r="31" spans="2:10" x14ac:dyDescent="0.25">
      <c r="B31" s="36" t="s">
        <v>81</v>
      </c>
      <c r="C31" s="36"/>
      <c r="D31" s="36"/>
      <c r="E31" s="36"/>
      <c r="F31" s="36"/>
      <c r="G31" s="36"/>
      <c r="H31" s="36"/>
      <c r="I31" s="36"/>
      <c r="J31" s="46">
        <f>C30-'Pay Application'!F25</f>
      </c>
    </row>
    <row r="33" ht="44" customHeight="1" spans="1:10" x14ac:dyDescent="0.25">
      <c r="A33" s="31" t="s">
        <v>82</v>
      </c>
      <c r="B33" s="31"/>
      <c r="C33" s="31"/>
      <c r="D33" s="31"/>
      <c r="E33" s="31"/>
      <c r="F33" s="31"/>
      <c r="G33" s="31"/>
      <c r="H33" s="31"/>
      <c r="I33" s="31"/>
      <c r="J33" s="31"/>
    </row>
    <row r="35" ht="26" customHeight="1" spans="1:10" x14ac:dyDescent="0.25">
      <c r="A35" s="35" t="s">
        <v>83</v>
      </c>
      <c r="B35" s="35"/>
      <c r="C35" s="35"/>
      <c r="D35" s="35"/>
      <c r="E35" s="35"/>
      <c r="F35" s="35"/>
      <c r="G35" s="35"/>
      <c r="H35" s="35"/>
      <c r="I35" s="35"/>
      <c r="J35" s="35"/>
    </row>
  </sheetData>
  <mergeCells count="4">
    <mergeCell ref="H1:J1"/>
    <mergeCell ref="B31:I31"/>
    <mergeCell ref="A33:J33"/>
    <mergeCell ref="A35:J35"/>
  </mergeCells>
  <conditionalFormatting sqref="J31">
    <cfRule type="cellIs" dxfId="0" priority="1" operator="notEqual">
      <formula>0</formula>
    </cfRule>
  </conditionalFormatting>
  <hyperlinks>
    <hyperlink ref="A35" r:id="rId1"/>
  </hyperlinks>
  <printOptions horizontalCentered="1"/>
  <pageMargins left="0.5" right="0.5" top="0.6" bottom="0.6" header="0.3" footer="0.3"/>
  <pageSetup paperSize="1" orientation="landscape" horizontalDpi="4294967295" verticalDpi="4294967295" scale="100" fitToWidth="1" fitToHeight="1"/>
  <headerFooter>
    <oddFooter>&amp;L&amp;8&amp;K8B93A1Free template by BuildWorkPro · buildworkpro.com/templates&amp;C&amp;8&amp;K8B93A1Continuation Sheet&amp;R&amp;8&amp;K8B93A1Page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563EB"/>
    <pageSetUpPr fitToPage="1"/>
  </sheetPr>
  <dimension ref="A1:B19"/>
  <sheetViews>
    <sheetView workbookViewId="0" showGridLines="0"/>
  </sheetViews>
  <sheetFormatPr defaultRowHeight="15" outlineLevelRow="0" outlineLevelCol="0" x14ac:dyDescent="55"/>
  <cols>
    <col min="1" max="1" width="4" customWidth="1"/>
    <col min="2" max="2" width="100" customWidth="1"/>
  </cols>
  <sheetData>
    <row r="1" ht="30" customHeight="1" spans="1:1" x14ac:dyDescent="0.25">
      <c r="A1" s="1" t="s">
        <v>84</v>
      </c>
    </row>
    <row r="2" ht="6" customHeight="1" spans="1:2" x14ac:dyDescent="0.25">
      <c r="A2" s="4"/>
      <c r="B2" s="4"/>
    </row>
    <row r="4" ht="30" customHeight="1" spans="1:2" x14ac:dyDescent="0.25">
      <c r="A4" s="47" t="s">
        <v>85</v>
      </c>
      <c r="B4" s="48" t="s">
        <v>86</v>
      </c>
    </row>
    <row r="5" ht="45" customHeight="1" spans="1:2" x14ac:dyDescent="0.25">
      <c r="A5" s="47" t="s">
        <v>87</v>
      </c>
      <c r="B5" s="48" t="s">
        <v>88</v>
      </c>
    </row>
    <row r="6" ht="45" customHeight="1" spans="1:2" x14ac:dyDescent="0.25">
      <c r="A6" s="47" t="s">
        <v>89</v>
      </c>
      <c r="B6" s="48" t="s">
        <v>90</v>
      </c>
    </row>
    <row r="7" ht="45" customHeight="1" spans="1:2" x14ac:dyDescent="0.25">
      <c r="A7" s="47" t="s">
        <v>91</v>
      </c>
      <c r="B7" s="48" t="s">
        <v>92</v>
      </c>
    </row>
    <row r="8" ht="45" customHeight="1" spans="1:2" x14ac:dyDescent="0.25">
      <c r="A8" s="47" t="s">
        <v>93</v>
      </c>
      <c r="B8" s="48" t="s">
        <v>94</v>
      </c>
    </row>
    <row r="9" ht="45" customHeight="1" spans="1:2" x14ac:dyDescent="0.25">
      <c r="A9" s="47" t="s">
        <v>95</v>
      </c>
      <c r="B9" s="48" t="s">
        <v>96</v>
      </c>
    </row>
    <row r="11" spans="2:2" x14ac:dyDescent="0.25">
      <c r="B11" s="7" t="s">
        <v>97</v>
      </c>
    </row>
    <row r="12" ht="45" customHeight="1" spans="1:2" x14ac:dyDescent="0.25">
      <c r="A12" s="49" t="s">
        <v>98</v>
      </c>
      <c r="B12" s="50" t="s">
        <v>99</v>
      </c>
    </row>
    <row r="13" ht="30" customHeight="1" spans="1:2" x14ac:dyDescent="0.25">
      <c r="A13" s="49" t="s">
        <v>98</v>
      </c>
      <c r="B13" s="50" t="s">
        <v>100</v>
      </c>
    </row>
    <row r="14" ht="30" customHeight="1" spans="1:2" x14ac:dyDescent="0.25">
      <c r="A14" s="49" t="s">
        <v>98</v>
      </c>
      <c r="B14" s="50" t="s">
        <v>101</v>
      </c>
    </row>
    <row r="16" ht="44" customHeight="1" spans="1:2" x14ac:dyDescent="0.25">
      <c r="A16" s="31" t="s">
        <v>102</v>
      </c>
      <c r="B16" s="31"/>
    </row>
    <row r="17" spans="2:2" x14ac:dyDescent="0.25">
      <c r="B17" s="51" t="s">
        <v>103</v>
      </c>
    </row>
    <row r="19" ht="78" customHeight="1" spans="1:2" x14ac:dyDescent="0.25">
      <c r="A19" s="35" t="s">
        <v>104</v>
      </c>
      <c r="B19" s="35"/>
    </row>
  </sheetData>
  <mergeCells count="2">
    <mergeCell ref="A16:B16"/>
    <mergeCell ref="A19:B19"/>
  </mergeCells>
  <hyperlinks>
    <hyperlink ref="B17" r:id="rId1"/>
    <hyperlink ref="A19" r:id="rId2"/>
  </hyperlinks>
  <printOptions horizontalCentered="1"/>
  <pageMargins left="0.5" right="0.5" top="0.6" bottom="0.6" header="0.3" footer="0.3"/>
  <pageSetup paperSize="1" orientation="portrait" horizontalDpi="4294967295" verticalDpi="4294967295" scale="100" fitToWidth="1" fitToHeight="0"/>
  <headerFooter>
    <oddFooter>&amp;L&amp;8&amp;K8B93A1Free template by BuildWorkPro · buildworkpro.com/templates&amp;C&amp;8&amp;K8B93A1How to Use&amp;R&amp;8&amp;K8B93A1Page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Pay Application</vt:lpstr>
      <vt:lpstr>Continuation Sheet</vt:lpstr>
      <vt:lpstr>How to Use</vt:lpstr>
    </vt:vector>
  </TitlesOfParts>
  <Company>BuildWorkPro</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BuildWorkPro</dc:creator>
  <dc:title>Pay Application Template</dc:title>
  <dc:subject>Application and certificate for payment</dc:subject>
  <dc:description/>
  <cp:keywords>construction template, subcontractor, buildworkpro</cp:keywords>
  <cp:category/>
  <cp:lastModifiedBy>BuildWorkPro</cp:lastModifiedBy>
  <dcterms:created xsi:type="dcterms:W3CDTF">2026-09-17T12:00:00Z</dcterms:created>
  <dcterms:modified xsi:type="dcterms:W3CDTF">2026-09-17T12:00:00Z</dcterms:modified>
</cp:coreProperties>
</file>