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eekly Timesheet" state="visible" r:id="rId4"/>
    <sheet sheetId="2" name="Crew Summary" state="visible" r:id="rId5"/>
    <sheet sheetId="3" name="How to Use" state="visible" r:id="rId6"/>
  </sheets>
  <definedNames>
    <definedName name="_xlnm.Print_Area" localSheetId="0">'Weekly Timesheet'!$A1:$K43</definedName>
  </definedNames>
  <calcPr calcId="171027" fullCalcOnLoad="1"/>
</workbook>
</file>

<file path=xl/sharedStrings.xml><?xml version="1.0" encoding="utf-8"?>
<sst xmlns="http://schemas.openxmlformats.org/spreadsheetml/2006/main" count="102" uniqueCount="89">
  <si>
    <t>Weekly Timesheet</t>
  </si>
  <si>
    <t>Print: fits one page</t>
  </si>
  <si>
    <t>Enter start, end and break per day; hours, the regular / overtime split and pay calculate from the thresholds you set.</t>
  </si>
  <si>
    <t>Amber cells are yours to fill in. Everything else calculates.</t>
  </si>
  <si>
    <t>EMPLOYEE</t>
  </si>
  <si>
    <t>WEEK</t>
  </si>
  <si>
    <t>OVERTIME RULES</t>
  </si>
  <si>
    <t>Name</t>
  </si>
  <si>
    <t>Week ending (Sun)</t>
  </si>
  <si>
    <t>Weekly OT after (hrs)</t>
  </si>
  <si>
    <t>Classification</t>
  </si>
  <si>
    <t>Supervisor</t>
  </si>
  <si>
    <t>Daily OT after (hrs, blank = off)</t>
  </si>
  <si>
    <t>Employee no. / crew</t>
  </si>
  <si>
    <t>Regular rate ($ / hr)</t>
  </si>
  <si>
    <t>Overtime multiplier</t>
  </si>
  <si>
    <t>DAY</t>
  </si>
  <si>
    <t>DATE</t>
  </si>
  <si>
    <t>JOB / PROJECT</t>
  </si>
  <si>
    <t>COST CODE / TASK</t>
  </si>
  <si>
    <t>START</t>
  </si>
  <si>
    <t>END</t>
  </si>
  <si>
    <t>BREAK (MIN)</t>
  </si>
  <si>
    <t>HOURS</t>
  </si>
  <si>
    <t>REGULAR</t>
  </si>
  <si>
    <t>OVERTIME</t>
  </si>
  <si>
    <t>NOTES</t>
  </si>
  <si>
    <t>Mon</t>
  </si>
  <si>
    <t>Tue</t>
  </si>
  <si>
    <t>Wed</t>
  </si>
  <si>
    <t>Thu</t>
  </si>
  <si>
    <t>Fri</t>
  </si>
  <si>
    <t>Sat</t>
  </si>
  <si>
    <t>Sun</t>
  </si>
  <si>
    <t/>
  </si>
  <si>
    <t>Weekly totals</t>
  </si>
  <si>
    <t>Regular pay</t>
  </si>
  <si>
    <t>Overtime pay</t>
  </si>
  <si>
    <t>Gross for the week</t>
  </si>
  <si>
    <t>NOTES / EXCEPTIONS — ABSENCES, LATE STARTS, PER DIEM, TRAVEL, INJURIES, WHO APPROVED OVERTIME</t>
  </si>
  <si>
    <t>Regular / overtime split: each day is capped at the daily threshold (if set); regular hours are then capped at the weekly threshold in date order, and everything above is overtime. Check the rule that applies in your state and contract.</t>
  </si>
  <si>
    <t>APPROVED BY (SUPERVISOR / FOREMAN)</t>
  </si>
  <si>
    <t>SIGNATURE</t>
  </si>
  <si>
    <t>PRINTED NAME / TITLE</t>
  </si>
  <si>
    <t>Free template by BuildWorkPro — buildworkpro.com/templates. Overtime rules differ by state and contract; prevailing-wage jobs also require certified payroll. Not legal or payroll advice.</t>
  </si>
  <si>
    <t>Crew Summary</t>
  </si>
  <si>
    <t>One row per person for the week. Regular / overtime split by the weekly threshold; pay from each person’s rate.</t>
  </si>
  <si>
    <t>Week ending (Sunday)</t>
  </si>
  <si>
    <t>Project</t>
  </si>
  <si>
    <t>Prepared by</t>
  </si>
  <si>
    <t>Approved by</t>
  </si>
  <si>
    <t>Date</t>
  </si>
  <si>
    <t>NAME</t>
  </si>
  <si>
    <t>CLASSIFICATION</t>
  </si>
  <si>
    <t>RATE</t>
  </si>
  <si>
    <t>MON</t>
  </si>
  <si>
    <t>TUE</t>
  </si>
  <si>
    <t>WED</t>
  </si>
  <si>
    <t>THU</t>
  </si>
  <si>
    <t>FRI</t>
  </si>
  <si>
    <t>SAT</t>
  </si>
  <si>
    <t>SUN</t>
  </si>
  <si>
    <t>TOTAL</t>
  </si>
  <si>
    <t>REGULAR PAY</t>
  </si>
  <si>
    <t>OT PAY</t>
  </si>
  <si>
    <t>GROSS</t>
  </si>
  <si>
    <t>Crew totals</t>
  </si>
  <si>
    <t>Free template by BuildWorkPro — buildworkpro.com/templates. The crew summary splits overtime on the weekly threshold only; use the Weekly Timesheet for daily-overtime states. Not legal or payroll advice.</t>
  </si>
  <si>
    <t>How to use the Construction Timesheet Template</t>
  </si>
  <si>
    <t>1.</t>
  </si>
  <si>
    <t>On the Weekly Timesheet sheet, fill the employee, the week-ending Sunday (the dates fill in), the supervisor and the regular rate. Amber cells are inputs.</t>
  </si>
  <si>
    <t>2.</t>
  </si>
  <si>
    <t>Set the overtime rules: weekly overtime after 40 hours (change it if your contract differs), daily overtime after 8 hours for states or agreements that use it (leave blank to turn it off), and the overtime multiplier (1.5 by default).</t>
  </si>
  <si>
    <t>3.</t>
  </si>
  <si>
    <t>For each day enter the job, the cost code or task, start time, end time and break minutes. Hours calculate; you can also type hours straight into the Hours column if you do not track start and end.</t>
  </si>
  <si>
    <t>4.</t>
  </si>
  <si>
    <t>Regular and overtime split automatically: each day is capped at the daily threshold, then regular hours are capped at the weekly threshold in date order, and the rest is overtime. Use the three extra rows for a day split across two jobs.</t>
  </si>
  <si>
    <t>5.</t>
  </si>
  <si>
    <t>Regular pay, overtime pay and gross calculate from the rate. Print (fits one page), have the employee sign, and the supervisor approve.</t>
  </si>
  <si>
    <t>6.</t>
  </si>
  <si>
    <t>On the Crew Summary sheet, enter each person’s rate and hours per day for the week. Totals, the weekly regular / overtime split and pay calculate per person and for the crew.</t>
  </si>
  <si>
    <t>TIPS FROM THE FIELD</t>
  </si>
  <si>
    <t>•</t>
  </si>
  <si>
    <t>Job and cost code on every line is what turns a timesheet into job costing. A week of hours with no job is payroll, not information.</t>
  </si>
  <si>
    <t>The hours here should match the daily report for the same day. If the timesheet says 10 and the daily report says 8, one of them is wrong — and both are evidence.</t>
  </si>
  <si>
    <t>Prevailing-wage and public jobs require certified payroll reports on top of the timesheet; keep classification and rate on every line so the report can be built from it.</t>
  </si>
  <si>
    <t>In BuildWorkPro crews log hours against the project in quarter-hour steps, the labor rate you set per person turns them into cost automatically, a manager reviews entries before payroll, and the Time Tracking page totals hours and cost for any date range.</t>
  </si>
  <si>
    <t>https://buildworkpro.com/features/time-tracking/</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</si>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</sst>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mmm d, yyyy"/>
    <numFmt numFmtId="165" formatCode="0.##"/>
    <numFmt numFmtId="166" formatCode="&quot;$&quot;#,##0.00;[Red]-&quot;$&quot;#,##0.00"/>
    <numFmt numFmtId="167" formatCode="0.0&quot;×&quot;"/>
    <numFmt numFmtId="168" formatCode="m/d"/>
    <numFmt numFmtId="169" formatCode="0;-0;&quot;&quot;"/>
    <numFmt numFmtId="170" formatCode="0.00;-0.00;&quot;&quot;"/>
    <numFmt numFmtId="171" formatCode="&quot;$&quot;#,##0.00;[Red]-&quot;$&quot;#,##0.00;&quot;&quot;"/>
  </numFmts>
  <fonts count="16"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b/>
      <color rgb="FF8B93A1"/>
      <sz val="7.5"/>
      <name val="Calibri"/>
    </font>
    <font>
      <color rgb="FF4A5260"/>
      <sz val="9"/>
      <name val="Calibri"/>
    </font>
    <font>
      <b/>
      <color rgb="FF4A5260"/>
      <sz val="7.5"/>
      <name val="Calibri"/>
    </font>
    <font>
      <b/>
      <color rgb="FF1B1F24"/>
      <sz val="10"/>
      <name val="Calibri"/>
    </font>
    <font>
      <color rgb="FF4A5260"/>
      <sz val="9.5"/>
      <name val="Calibri"/>
    </font>
    <font>
      <b/>
      <color rgb="FF4A5260"/>
      <sz val="8"/>
      <name val="Calibri"/>
    </font>
    <font>
      <color rgb="FF8B93A1"/>
      <sz val="7"/>
      <name val="Calibri"/>
    </font>
    <font>
      <color rgb="FF8B93A1"/>
      <sz val="8"/>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8">
    <border>
      <left/>
      <right/>
      <top/>
      <bottom/>
      <diagonal/>
    </border>
    <border>
      <left/>
      <right/>
      <top/>
      <bottom style="medium">
        <color rgb="FF2563EB"/>
      </bottom>
      <diagonal/>
    </border>
    <border>
      <left/>
      <right/>
      <top/>
      <bottom style="thin">
        <color rgb="FF8B93A1"/>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style="medium">
        <color rgb="FF2563EB"/>
      </left>
      <right/>
      <top/>
      <bottom/>
      <diagonal/>
    </border>
    <border>
      <left/>
      <right/>
      <top/>
      <bottom style="thin">
        <color rgb="FF1B1F24"/>
      </bottom>
      <diagonal/>
    </border>
  </borders>
  <cellStyleXfs count="1">
    <xf numFmtId="0" fontId="0" fillId="0" borderId="0"/>
  </cellStyleXfs>
  <cellXfs count="47">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xf numFmtId="0" fontId="7"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left" vertical="center"/>
    </xf>
    <xf numFmtId="165" fontId="4" fillId="2" borderId="2" xfId="0" applyNumberFormat="1" applyFont="1" applyFill="1" applyBorder="1" applyAlignment="1">
      <alignment horizontal="right" vertical="center"/>
    </xf>
    <xf numFmtId="166" fontId="4" fillId="2" borderId="2" xfId="0" applyNumberFormat="1" applyFont="1" applyFill="1" applyBorder="1" applyAlignment="1">
      <alignment horizontal="right" vertical="center"/>
    </xf>
    <xf numFmtId="167" fontId="4" fillId="2" borderId="2" xfId="0" applyNumberFormat="1" applyFont="1" applyFill="1" applyBorder="1" applyAlignment="1">
      <alignment horizontal="right" vertical="center"/>
    </xf>
    <xf numFmtId="0" fontId="8" fillId="3" borderId="3" xfId="0" applyFont="1" applyFill="1" applyBorder="1" applyAlignment="1">
      <alignment horizontal="left" vertical="bottom" wrapText="1"/>
    </xf>
    <xf numFmtId="0" fontId="8" fillId="3" borderId="3" xfId="0" applyFont="1" applyFill="1" applyBorder="1" applyAlignment="1">
      <alignment horizontal="center" vertical="bottom" wrapText="1"/>
    </xf>
    <xf numFmtId="0" fontId="8" fillId="3" borderId="3" xfId="0" applyFont="1" applyFill="1" applyBorder="1" applyAlignment="1">
      <alignment horizontal="right" vertical="bottom" wrapText="1"/>
    </xf>
    <xf numFmtId="0" fontId="9" fillId="0" borderId="4" xfId="0" applyFont="1" applyBorder="1" applyAlignment="1">
      <alignment horizontal="left" vertical="center"/>
    </xf>
    <xf numFmtId="168" fontId="2" fillId="0" borderId="4" xfId="0" applyNumberFormat="1" applyFont="1" applyBorder="1" applyAlignment="1">
      <alignment horizontal="center" vertical="center"/>
    </xf>
    <xf numFmtId="0" fontId="4" fillId="2" borderId="4" xfId="0" applyFont="1" applyFill="1" applyBorder="1" applyAlignment="1">
      <alignment horizontal="left" vertical="center"/>
    </xf>
    <xf numFmtId="18" fontId="4" fillId="2" borderId="4" xfId="0" applyNumberFormat="1" applyFont="1" applyFill="1" applyBorder="1" applyAlignment="1">
      <alignment horizontal="center" vertical="center"/>
    </xf>
    <xf numFmtId="169" fontId="4" fillId="2" borderId="4" xfId="0" applyNumberFormat="1" applyFont="1" applyFill="1" applyBorder="1" applyAlignment="1">
      <alignment horizontal="right" vertical="center"/>
    </xf>
    <xf numFmtId="170" fontId="4" fillId="0" borderId="4" xfId="0" applyNumberFormat="1" applyFont="1" applyBorder="1" applyAlignment="1">
      <alignment horizontal="right" vertical="center"/>
    </xf>
    <xf numFmtId="0" fontId="4" fillId="2" borderId="4" xfId="0" applyFont="1" applyFill="1" applyBorder="1" applyAlignment="1">
      <alignment horizontal="left" vertical="center" wrapText="1"/>
    </xf>
    <xf numFmtId="168" fontId="4" fillId="2" borderId="4" xfId="0" applyNumberFormat="1" applyFont="1" applyFill="1" applyBorder="1" applyAlignment="1">
      <alignment horizontal="center" vertical="center"/>
    </xf>
    <xf numFmtId="0" fontId="9" fillId="0" borderId="5" xfId="0" applyFont="1" applyBorder="1" applyAlignment="1">
      <alignment horizontal="left" vertical="center"/>
    </xf>
    <xf numFmtId="2" fontId="9" fillId="0" borderId="5" xfId="0" applyNumberFormat="1" applyFont="1" applyBorder="1" applyAlignment="1">
      <alignment horizontal="right" vertical="center"/>
    </xf>
    <xf numFmtId="0" fontId="10" fillId="0" borderId="0" xfId="0" applyFont="1" applyAlignment="1">
      <alignment horizontal="right" vertical="top"/>
    </xf>
    <xf numFmtId="171" fontId="4" fillId="0" borderId="0" xfId="0" applyNumberFormat="1" applyFont="1" applyAlignment="1">
      <alignment horizontal="right" vertical="center"/>
    </xf>
    <xf numFmtId="171" fontId="9" fillId="0" borderId="5" xfId="0" applyNumberFormat="1" applyFont="1" applyBorder="1" applyAlignment="1">
      <alignment horizontal="right" vertical="center"/>
    </xf>
    <xf numFmtId="0" fontId="4" fillId="2" borderId="2" xfId="0" applyFont="1" applyFill="1" applyBorder="1" applyAlignment="1">
      <alignment horizontal="left" vertical="center" wrapText="1"/>
    </xf>
    <xf numFmtId="0" fontId="7" fillId="3" borderId="6" xfId="0" applyFont="1" applyFill="1" applyBorder="1" applyAlignment="1">
      <alignment vertical="center" wrapText="1" indent="1"/>
    </xf>
    <xf numFmtId="0" fontId="11" fillId="0" borderId="0" xfId="0" applyFont="1"/>
    <xf numFmtId="0" fontId="4" fillId="0" borderId="7" xfId="0" applyFont="1" applyBorder="1"/>
    <xf numFmtId="0" fontId="12" fillId="0" borderId="0" xfId="0" applyFont="1"/>
    <xf numFmtId="0" fontId="13" fillId="0" borderId="0" xfId="0" applyFont="1" applyAlignment="1">
      <alignment vertical="top" wrapText="1"/>
    </xf>
    <xf numFmtId="0" fontId="13" fillId="0" borderId="0" xfId="0" applyFont="1" applyAlignment="1">
      <alignment horizontal="right" vertical="top"/>
    </xf>
    <xf numFmtId="168" fontId="13" fillId="0" borderId="0" xfId="0" applyNumberFormat="1" applyFont="1" applyAlignment="1">
      <alignment horizontal="right" vertical="center"/>
    </xf>
    <xf numFmtId="171" fontId="4" fillId="2" borderId="4" xfId="0" applyNumberFormat="1" applyFont="1" applyFill="1" applyBorder="1" applyAlignment="1">
      <alignment horizontal="right" vertical="center"/>
    </xf>
    <xf numFmtId="170" fontId="4" fillId="2" borderId="4" xfId="0" applyNumberFormat="1" applyFont="1" applyFill="1" applyBorder="1" applyAlignment="1">
      <alignment horizontal="right" vertical="center"/>
    </xf>
    <xf numFmtId="171" fontId="4" fillId="0" borderId="4" xfId="0" applyNumberFormat="1" applyFont="1" applyBorder="1" applyAlignment="1">
      <alignment horizontal="right" vertical="center"/>
    </xf>
    <xf numFmtId="166" fontId="9" fillId="0" borderId="5" xfId="0" applyNumberFormat="1" applyFont="1" applyBorder="1" applyAlignment="1">
      <alignment horizontal="right" vertical="center"/>
    </xf>
    <xf numFmtId="0" fontId="14"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time-tracking/"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workbookViewId="0" showGridLines="0"/>
  </sheetViews>
  <sheetFormatPr defaultRowHeight="15" outlineLevelRow="0" outlineLevelCol="0" x14ac:dyDescent="55"/>
  <cols>
    <col min="1" max="1" width="7" customWidth="1"/>
    <col min="2" max="2" width="10" customWidth="1"/>
    <col min="3" max="4" width="24" customWidth="1"/>
    <col min="9" max="10" width="10" customWidth="1"/>
    <col min="11" max="11" width="30" customWidth="1"/>
  </cols>
  <sheetData>
    <row r="1" ht="30" customHeight="1" spans="1:11" x14ac:dyDescent="0.25">
      <c r="A1" s="1" t="s">
        <v>0</v>
      </c>
      <c r="J1" s="2" t="s">
        <v>1</v>
      </c>
      <c r="K1" s="2"/>
    </row>
    <row r="2" spans="1:1" x14ac:dyDescent="0.25">
      <c r="A2" s="3" t="s">
        <v>2</v>
      </c>
    </row>
    <row r="3" ht="6" customHeight="1" spans="1:11" x14ac:dyDescent="0.25">
      <c r="A3" s="4"/>
      <c r="B3" s="4"/>
      <c r="C3" s="4"/>
      <c r="D3" s="4"/>
      <c r="E3" s="4"/>
      <c r="F3" s="4"/>
      <c r="G3" s="4"/>
      <c r="H3" s="4"/>
      <c r="I3" s="4"/>
      <c r="J3" s="4"/>
      <c r="K3" s="4"/>
    </row>
    <row r="4" spans="1:2" x14ac:dyDescent="0.25">
      <c r="A4" s="5"/>
      <c r="B4" s="6" t="s">
        <v>3</v>
      </c>
    </row>
    <row r="6" spans="1:9" x14ac:dyDescent="0.25">
      <c r="A6" s="7" t="s">
        <v>4</v>
      </c>
      <c r="E6" s="7" t="s">
        <v>5</v>
      </c>
      <c r="I6" s="7" t="s">
        <v>6</v>
      </c>
    </row>
    <row r="7" spans="1:11" x14ac:dyDescent="0.25">
      <c r="A7" s="8" t="s">
        <v>7</v>
      </c>
      <c r="B7" s="8"/>
      <c r="C7" s="9"/>
      <c r="D7" s="9"/>
      <c r="E7" s="8" t="s">
        <v>8</v>
      </c>
      <c r="F7" s="8"/>
      <c r="G7" s="10"/>
      <c r="H7" s="10"/>
      <c r="I7" s="8" t="s">
        <v>9</v>
      </c>
      <c r="J7" s="8"/>
      <c r="K7" s="11">
        <v>40</v>
      </c>
    </row>
    <row r="8" spans="1:11" x14ac:dyDescent="0.25">
      <c r="A8" s="8" t="s">
        <v>10</v>
      </c>
      <c r="B8" s="8"/>
      <c r="C8" s="9"/>
      <c r="D8" s="9"/>
      <c r="E8" s="8" t="s">
        <v>11</v>
      </c>
      <c r="F8" s="8"/>
      <c r="G8" s="9"/>
      <c r="H8" s="9"/>
      <c r="I8" s="8" t="s">
        <v>12</v>
      </c>
      <c r="J8" s="8"/>
      <c r="K8" s="11"/>
    </row>
    <row r="9" spans="1:11" x14ac:dyDescent="0.25">
      <c r="A9" s="8" t="s">
        <v>13</v>
      </c>
      <c r="B9" s="8"/>
      <c r="C9" s="9"/>
      <c r="D9" s="9"/>
      <c r="E9" s="8" t="s">
        <v>14</v>
      </c>
      <c r="F9" s="8"/>
      <c r="G9" s="12"/>
      <c r="H9" s="12"/>
      <c r="I9" s="8" t="s">
        <v>15</v>
      </c>
      <c r="J9" s="8"/>
      <c r="K9" s="13">
        <v>1.5</v>
      </c>
    </row>
    <row r="11" ht="22" customHeight="1" spans="1:11" x14ac:dyDescent="0.25">
      <c r="A11" s="14" t="s">
        <v>16</v>
      </c>
      <c r="B11" s="15" t="s">
        <v>17</v>
      </c>
      <c r="C11" s="14" t="s">
        <v>18</v>
      </c>
      <c r="D11" s="14" t="s">
        <v>19</v>
      </c>
      <c r="E11" s="15" t="s">
        <v>20</v>
      </c>
      <c r="F11" s="15" t="s">
        <v>21</v>
      </c>
      <c r="G11" s="16" t="s">
        <v>22</v>
      </c>
      <c r="H11" s="16" t="s">
        <v>23</v>
      </c>
      <c r="I11" s="16" t="s">
        <v>24</v>
      </c>
      <c r="J11" s="16" t="s">
        <v>25</v>
      </c>
      <c r="K11" s="14" t="s">
        <v>26</v>
      </c>
    </row>
    <row r="12" spans="1:11" x14ac:dyDescent="0.25">
      <c r="A12" s="17" t="s">
        <v>27</v>
      </c>
      <c r="B12" s="18">
        <f>IF($G$7="","",$G$7-6)</f>
      </c>
      <c r="C12" s="19"/>
      <c r="D12" s="19"/>
      <c r="E12" s="20"/>
      <c r="F12" s="20"/>
      <c r="G12" s="21"/>
      <c r="H12" s="22">
        <f>IF(OR(E12="",F12=""),"",ROUND(MOD(F12-E12,1)*24-IF(G12="",0,G12)/60,2))</f>
      </c>
      <c r="I12" s="22">
        <f>IF(H12="","",MIN(IF($K$8="",H12,MIN(H12,$K$8)),MAX(0,$K$7-0)))</f>
      </c>
      <c r="J12" s="22">
        <f>IF(H12="","",H12-I12)</f>
      </c>
      <c r="K12" s="23"/>
    </row>
    <row r="13" spans="1:11" x14ac:dyDescent="0.25">
      <c r="A13" s="17" t="s">
        <v>28</v>
      </c>
      <c r="B13" s="18">
        <f>IF($G$7="","",$G$7-5)</f>
      </c>
      <c r="C13" s="19"/>
      <c r="D13" s="19"/>
      <c r="E13" s="20"/>
      <c r="F13" s="20"/>
      <c r="G13" s="21"/>
      <c r="H13" s="22">
        <f>IF(OR(E13="",F13=""),"",ROUND(MOD(F13-E13,1)*24-IF(G13="",0,G13)/60,2))</f>
      </c>
      <c r="I13" s="22">
        <f>IF(H13="","",MIN(IF($K$8="",H13,MIN(H13,$K$8)),MAX(0,$K$7-SUM($I$12:I12))))</f>
      </c>
      <c r="J13" s="22">
        <f>IF(H13="","",H13-I13)</f>
      </c>
      <c r="K13" s="23"/>
    </row>
    <row r="14" spans="1:11" x14ac:dyDescent="0.25">
      <c r="A14" s="17" t="s">
        <v>29</v>
      </c>
      <c r="B14" s="18">
        <f>IF($G$7="","",$G$7-4)</f>
      </c>
      <c r="C14" s="19"/>
      <c r="D14" s="19"/>
      <c r="E14" s="20"/>
      <c r="F14" s="20"/>
      <c r="G14" s="21"/>
      <c r="H14" s="22">
        <f>IF(OR(E14="",F14=""),"",ROUND(MOD(F14-E14,1)*24-IF(G14="",0,G14)/60,2))</f>
      </c>
      <c r="I14" s="22">
        <f>IF(H14="","",MIN(IF($K$8="",H14,MIN(H14,$K$8)),MAX(0,$K$7-SUM($I$12:I13))))</f>
      </c>
      <c r="J14" s="22">
        <f>IF(H14="","",H14-I14)</f>
      </c>
      <c r="K14" s="23"/>
    </row>
    <row r="15" spans="1:11" x14ac:dyDescent="0.25">
      <c r="A15" s="17" t="s">
        <v>30</v>
      </c>
      <c r="B15" s="18">
        <f>IF($G$7="","",$G$7-3)</f>
      </c>
      <c r="C15" s="19"/>
      <c r="D15" s="19"/>
      <c r="E15" s="20"/>
      <c r="F15" s="20"/>
      <c r="G15" s="21"/>
      <c r="H15" s="22">
        <f>IF(OR(E15="",F15=""),"",ROUND(MOD(F15-E15,1)*24-IF(G15="",0,G15)/60,2))</f>
      </c>
      <c r="I15" s="22">
        <f>IF(H15="","",MIN(IF($K$8="",H15,MIN(H15,$K$8)),MAX(0,$K$7-SUM($I$12:I14))))</f>
      </c>
      <c r="J15" s="22">
        <f>IF(H15="","",H15-I15)</f>
      </c>
      <c r="K15" s="23"/>
    </row>
    <row r="16" spans="1:11" x14ac:dyDescent="0.25">
      <c r="A16" s="17" t="s">
        <v>31</v>
      </c>
      <c r="B16" s="18">
        <f>IF($G$7="","",$G$7-2)</f>
      </c>
      <c r="C16" s="19"/>
      <c r="D16" s="19"/>
      <c r="E16" s="20"/>
      <c r="F16" s="20"/>
      <c r="G16" s="21"/>
      <c r="H16" s="22">
        <f>IF(OR(E16="",F16=""),"",ROUND(MOD(F16-E16,1)*24-IF(G16="",0,G16)/60,2))</f>
      </c>
      <c r="I16" s="22">
        <f>IF(H16="","",MIN(IF($K$8="",H16,MIN(H16,$K$8)),MAX(0,$K$7-SUM($I$12:I15))))</f>
      </c>
      <c r="J16" s="22">
        <f>IF(H16="","",H16-I16)</f>
      </c>
      <c r="K16" s="23"/>
    </row>
    <row r="17" spans="1:11" x14ac:dyDescent="0.25">
      <c r="A17" s="17" t="s">
        <v>32</v>
      </c>
      <c r="B17" s="18">
        <f>IF($G$7="","",$G$7-1)</f>
      </c>
      <c r="C17" s="19"/>
      <c r="D17" s="19"/>
      <c r="E17" s="20"/>
      <c r="F17" s="20"/>
      <c r="G17" s="21"/>
      <c r="H17" s="22">
        <f>IF(OR(E17="",F17=""),"",ROUND(MOD(F17-E17,1)*24-IF(G17="",0,G17)/60,2))</f>
      </c>
      <c r="I17" s="22">
        <f>IF(H17="","",MIN(IF($K$8="",H17,MIN(H17,$K$8)),MAX(0,$K$7-SUM($I$12:I16))))</f>
      </c>
      <c r="J17" s="22">
        <f>IF(H17="","",H17-I17)</f>
      </c>
      <c r="K17" s="23"/>
    </row>
    <row r="18" spans="1:11" x14ac:dyDescent="0.25">
      <c r="A18" s="17" t="s">
        <v>33</v>
      </c>
      <c r="B18" s="18">
        <f>IF($G$7="","",$G$7-0)</f>
      </c>
      <c r="C18" s="19"/>
      <c r="D18" s="19"/>
      <c r="E18" s="20"/>
      <c r="F18" s="20"/>
      <c r="G18" s="21"/>
      <c r="H18" s="22">
        <f>IF(OR(E18="",F18=""),"",ROUND(MOD(F18-E18,1)*24-IF(G18="",0,G18)/60,2))</f>
      </c>
      <c r="I18" s="22">
        <f>IF(H18="","",MIN(IF($K$8="",H18,MIN(H18,$K$8)),MAX(0,$K$7-SUM($I$12:I17))))</f>
      </c>
      <c r="J18" s="22">
        <f>IF(H18="","",H18-I18)</f>
      </c>
      <c r="K18" s="23"/>
    </row>
    <row r="19" spans="1:11" x14ac:dyDescent="0.25">
      <c r="A19" s="19"/>
      <c r="B19" s="24"/>
      <c r="C19" s="19"/>
      <c r="D19" s="19"/>
      <c r="E19" s="20"/>
      <c r="F19" s="20"/>
      <c r="G19" s="21"/>
      <c r="H19" s="22">
        <f>IF(OR(E19="",F19=""),"",ROUND(MOD(F19-E19,1)*24-IF(G19="",0,G19)/60,2))</f>
      </c>
      <c r="I19" s="22">
        <f>IF(H19="","",MIN(IF($K$8="",H19,MIN(H19,$K$8)),MAX(0,$K$7-SUM($I$12:I18))))</f>
      </c>
      <c r="J19" s="22">
        <f>IF(H19="","",H19-I19)</f>
      </c>
      <c r="K19" s="23"/>
    </row>
    <row r="20" spans="1:11" x14ac:dyDescent="0.25">
      <c r="A20" s="19"/>
      <c r="B20" s="24"/>
      <c r="C20" s="19"/>
      <c r="D20" s="19"/>
      <c r="E20" s="20"/>
      <c r="F20" s="20"/>
      <c r="G20" s="21"/>
      <c r="H20" s="22">
        <f>IF(OR(E20="",F20=""),"",ROUND(MOD(F20-E20,1)*24-IF(G20="",0,G20)/60,2))</f>
      </c>
      <c r="I20" s="22">
        <f>IF(H20="","",MIN(IF($K$8="",H20,MIN(H20,$K$8)),MAX(0,$K$7-SUM($I$12:I19))))</f>
      </c>
      <c r="J20" s="22">
        <f>IF(H20="","",H20-I20)</f>
      </c>
      <c r="K20" s="23"/>
    </row>
    <row r="21" spans="1:11" x14ac:dyDescent="0.25">
      <c r="A21" s="19"/>
      <c r="B21" s="24"/>
      <c r="C21" s="19"/>
      <c r="D21" s="19"/>
      <c r="E21" s="20"/>
      <c r="F21" s="20"/>
      <c r="G21" s="21"/>
      <c r="H21" s="22">
        <f>IF(OR(E21="",F21=""),"",ROUND(MOD(F21-E21,1)*24-IF(G21="",0,G21)/60,2))</f>
      </c>
      <c r="I21" s="22">
        <f>IF(H21="","",MIN(IF($K$8="",H21,MIN(H21,$K$8)),MAX(0,$K$7-SUM($I$12:I20))))</f>
      </c>
      <c r="J21" s="22">
        <f>IF(H21="","",H21-I21)</f>
      </c>
      <c r="K21" s="23"/>
    </row>
    <row r="22" ht="22" customHeight="1" spans="1:11" x14ac:dyDescent="0.25">
      <c r="A22" s="25" t="s">
        <v>34</v>
      </c>
      <c r="B22" s="25" t="s">
        <v>34</v>
      </c>
      <c r="C22" s="25" t="s">
        <v>35</v>
      </c>
      <c r="D22" s="25"/>
      <c r="E22" s="25"/>
      <c r="F22" s="25"/>
      <c r="G22" s="25"/>
      <c r="H22" s="26">
        <f>SUM(H12:H21)</f>
      </c>
      <c r="I22" s="26">
        <f>SUM(I12:I21)</f>
      </c>
      <c r="J22" s="26">
        <f>SUM(J12:J21)</f>
      </c>
      <c r="K22" s="25"/>
    </row>
    <row r="24" spans="8:10" x14ac:dyDescent="0.25">
      <c r="H24" s="27" t="s">
        <v>36</v>
      </c>
      <c r="I24" s="27"/>
      <c r="J24" s="28">
        <f>IF($G$9="","",I22*$G$9)</f>
      </c>
    </row>
    <row r="25" spans="8:10" x14ac:dyDescent="0.25">
      <c r="H25" s="27" t="s">
        <v>37</v>
      </c>
      <c r="I25" s="27"/>
      <c r="J25" s="28">
        <f>IF($G$9="","",J22*$G$9*$K$9)</f>
      </c>
    </row>
    <row r="26" ht="22" customHeight="1" spans="1:11" x14ac:dyDescent="0.25">
      <c r="A26" s="25"/>
      <c r="B26" s="25"/>
      <c r="C26" s="25"/>
      <c r="D26" s="25"/>
      <c r="E26" s="25"/>
      <c r="F26" s="25"/>
      <c r="G26" s="25"/>
      <c r="H26" s="25" t="s">
        <v>38</v>
      </c>
      <c r="I26" s="25"/>
      <c r="J26" s="29">
        <f>IF($G$9="","",J24+J25)</f>
      </c>
      <c r="K26" s="25"/>
    </row>
    <row r="28" spans="1:1" x14ac:dyDescent="0.25">
      <c r="A28" s="7" t="s">
        <v>39</v>
      </c>
    </row>
    <row r="29" ht="18" customHeight="1" spans="1:11" x14ac:dyDescent="0.25">
      <c r="A29" s="30"/>
      <c r="B29" s="30"/>
      <c r="C29" s="30"/>
      <c r="D29" s="30"/>
      <c r="E29" s="30"/>
      <c r="F29" s="30"/>
      <c r="G29" s="30"/>
      <c r="H29" s="30"/>
      <c r="I29" s="30"/>
      <c r="J29" s="30"/>
      <c r="K29" s="30"/>
    </row>
    <row r="30" ht="18" customHeight="1" spans="1:11" x14ac:dyDescent="0.25">
      <c r="A30" s="30"/>
      <c r="B30" s="30"/>
      <c r="C30" s="30"/>
      <c r="D30" s="30"/>
      <c r="E30" s="30"/>
      <c r="F30" s="30"/>
      <c r="G30" s="30"/>
      <c r="H30" s="30"/>
      <c r="I30" s="30"/>
      <c r="J30" s="30"/>
      <c r="K30" s="30"/>
    </row>
    <row r="32" ht="30" customHeight="1" spans="1:11" x14ac:dyDescent="0.25">
      <c r="A32" s="31" t="s">
        <v>40</v>
      </c>
      <c r="B32" s="31"/>
      <c r="C32" s="31"/>
      <c r="D32" s="31"/>
      <c r="E32" s="31"/>
      <c r="F32" s="31"/>
      <c r="G32" s="31"/>
      <c r="H32" s="31"/>
      <c r="I32" s="31"/>
      <c r="J32" s="31"/>
      <c r="K32" s="31"/>
    </row>
    <row r="34" spans="1:7" x14ac:dyDescent="0.25">
      <c r="A34" s="32" t="s">
        <v>4</v>
      </c>
      <c r="G34" s="32" t="s">
        <v>41</v>
      </c>
    </row>
    <row r="36" ht="22" customHeight="1" spans="1:10" x14ac:dyDescent="0.25">
      <c r="A36" s="33"/>
      <c r="B36" s="33"/>
      <c r="C36" s="33"/>
      <c r="D36" s="33"/>
      <c r="G36" s="33"/>
      <c r="H36" s="33"/>
      <c r="I36" s="33"/>
      <c r="J36" s="33"/>
    </row>
    <row r="37" spans="1:7" x14ac:dyDescent="0.25">
      <c r="A37" s="34" t="s">
        <v>42</v>
      </c>
      <c r="G37" s="34" t="s">
        <v>42</v>
      </c>
    </row>
    <row r="38" ht="22" customHeight="1" spans="1:10" x14ac:dyDescent="0.25">
      <c r="A38" s="33"/>
      <c r="B38" s="33"/>
      <c r="C38" s="33"/>
      <c r="D38" s="33"/>
      <c r="G38" s="33"/>
      <c r="H38" s="33"/>
      <c r="I38" s="33"/>
      <c r="J38" s="33"/>
    </row>
    <row r="39" spans="1:7" x14ac:dyDescent="0.25">
      <c r="A39" s="34" t="s">
        <v>43</v>
      </c>
      <c r="G39" s="34" t="s">
        <v>43</v>
      </c>
    </row>
    <row r="40" ht="22" customHeight="1" spans="1:10" x14ac:dyDescent="0.25">
      <c r="A40" s="33"/>
      <c r="B40" s="33"/>
      <c r="C40" s="33"/>
      <c r="D40" s="33"/>
      <c r="G40" s="33"/>
      <c r="H40" s="33"/>
      <c r="I40" s="33"/>
      <c r="J40" s="33"/>
    </row>
    <row r="41" spans="1:7" x14ac:dyDescent="0.25">
      <c r="A41" s="34" t="s">
        <v>17</v>
      </c>
      <c r="G41" s="34" t="s">
        <v>17</v>
      </c>
    </row>
    <row r="43" ht="26" customHeight="1" spans="1:11" x14ac:dyDescent="0.25">
      <c r="A43" s="35" t="s">
        <v>44</v>
      </c>
      <c r="B43" s="35"/>
      <c r="C43" s="35"/>
      <c r="D43" s="35"/>
      <c r="E43" s="35"/>
      <c r="F43" s="35"/>
      <c r="G43" s="35"/>
      <c r="H43" s="35"/>
      <c r="I43" s="35"/>
      <c r="J43" s="35"/>
      <c r="K43" s="35"/>
    </row>
  </sheetData>
  <mergeCells count="28">
    <mergeCell ref="J1:K1"/>
    <mergeCell ref="A7:B7"/>
    <mergeCell ref="C7:D7"/>
    <mergeCell ref="E7:F7"/>
    <mergeCell ref="G7:H7"/>
    <mergeCell ref="I7:J7"/>
    <mergeCell ref="A8:B8"/>
    <mergeCell ref="C8:D8"/>
    <mergeCell ref="E8:F8"/>
    <mergeCell ref="G8:H8"/>
    <mergeCell ref="I8:J8"/>
    <mergeCell ref="A9:B9"/>
    <mergeCell ref="C9:D9"/>
    <mergeCell ref="E9:F9"/>
    <mergeCell ref="G9:H9"/>
    <mergeCell ref="I9:J9"/>
    <mergeCell ref="H24:I24"/>
    <mergeCell ref="H25:I25"/>
    <mergeCell ref="H26:I26"/>
    <mergeCell ref="A29:K30"/>
    <mergeCell ref="A32:K32"/>
    <mergeCell ref="A36:D36"/>
    <mergeCell ref="G36:J36"/>
    <mergeCell ref="A38:D38"/>
    <mergeCell ref="G38:J38"/>
    <mergeCell ref="A40:D40"/>
    <mergeCell ref="G40:J40"/>
    <mergeCell ref="A43:K43"/>
  </mergeCells>
  <hyperlinks>
    <hyperlink ref="A43" r:id="rId1"/>
  </hyperlinks>
  <printOptions horizontalCentered="1"/>
  <pageMargins left="0.5" right="0.5" top="0.6" bottom="0.6" header="0.3" footer="0.3"/>
  <pageSetup paperSize="1" orientation="landscape" horizontalDpi="4294967295" verticalDpi="4294967295" scale="100" fitToWidth="1" fitToHeight="1"/>
  <headerFooter>
    <oddFooter>&amp;L&amp;8&amp;K8B93A1Free template by BuildWorkPro · buildworkpro.com/templates&amp;C&amp;8&amp;K8B93A1Weekly Timesheet&amp;R&amp;8&amp;K8B93A1Page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7"/>
  <sheetViews>
    <sheetView workbookViewId="0" showGridLines="0">
      <pane ySplit="9" topLeftCell="A10" activePane="bottomLeft" state="frozen"/>
      <selection pane="bottomLeft"/>
    </sheetView>
  </sheetViews>
  <sheetFormatPr defaultRowHeight="15" outlineLevelRow="0" outlineLevelCol="0" x14ac:dyDescent="55"/>
  <cols>
    <col min="1" max="1" width="22" customWidth="1"/>
    <col min="2" max="2" width="20" customWidth="1"/>
    <col min="3" max="3" width="10" customWidth="1"/>
    <col min="4" max="10" width="8" customWidth="1"/>
    <col min="14" max="15" width="12" customWidth="1"/>
    <col min="16" max="16" width="13" customWidth="1"/>
  </cols>
  <sheetData>
    <row r="1" ht="30" customHeight="1" spans="1:1" x14ac:dyDescent="0.25">
      <c r="A1" s="1" t="s">
        <v>45</v>
      </c>
    </row>
    <row r="2" spans="1:1" x14ac:dyDescent="0.25">
      <c r="A2" s="3" t="s">
        <v>46</v>
      </c>
    </row>
    <row r="3" ht="6" customHeight="1" spans="1:16" x14ac:dyDescent="0.25">
      <c r="A3" s="4"/>
      <c r="B3" s="4"/>
      <c r="C3" s="4"/>
      <c r="D3" s="4"/>
      <c r="E3" s="4"/>
      <c r="F3" s="4"/>
      <c r="G3" s="4"/>
      <c r="H3" s="4"/>
      <c r="I3" s="4"/>
      <c r="J3" s="4"/>
      <c r="K3" s="4"/>
      <c r="L3" s="4"/>
      <c r="M3" s="4"/>
      <c r="N3" s="4"/>
      <c r="O3" s="4"/>
      <c r="P3" s="4"/>
    </row>
    <row r="4" spans="1:2" x14ac:dyDescent="0.25">
      <c r="A4" s="5"/>
      <c r="B4" s="6" t="s">
        <v>3</v>
      </c>
    </row>
    <row r="5" spans="1:14" x14ac:dyDescent="0.25">
      <c r="A5" s="8" t="s">
        <v>47</v>
      </c>
      <c r="B5" s="10"/>
      <c r="D5" s="8" t="s">
        <v>48</v>
      </c>
      <c r="E5" s="8"/>
      <c r="F5" s="9"/>
      <c r="G5" s="9"/>
      <c r="H5" s="9"/>
      <c r="I5" s="9"/>
      <c r="K5" s="8" t="s">
        <v>9</v>
      </c>
      <c r="L5" s="8"/>
      <c r="M5" s="8"/>
      <c r="N5" s="11">
        <v>40</v>
      </c>
    </row>
    <row r="6" spans="1:14" x14ac:dyDescent="0.25">
      <c r="A6" s="8" t="s">
        <v>49</v>
      </c>
      <c r="B6" s="9"/>
      <c r="D6" s="8" t="s">
        <v>50</v>
      </c>
      <c r="E6" s="8"/>
      <c r="F6" s="9"/>
      <c r="G6" s="9"/>
      <c r="H6" s="9"/>
      <c r="I6" s="9"/>
      <c r="K6" s="8" t="s">
        <v>15</v>
      </c>
      <c r="L6" s="8"/>
      <c r="M6" s="8"/>
      <c r="N6" s="13">
        <v>1.5</v>
      </c>
    </row>
    <row r="8" spans="3:10" x14ac:dyDescent="0.25">
      <c r="C8" s="36" t="s">
        <v>51</v>
      </c>
      <c r="D8" s="37">
        <f>IF($B$5="","",$B$5-6)</f>
      </c>
      <c r="E8" s="37">
        <f>IF($B$5="","",$B$5-5)</f>
      </c>
      <c r="F8" s="37">
        <f>IF($B$5="","",$B$5-4)</f>
      </c>
      <c r="G8" s="37">
        <f>IF($B$5="","",$B$5-3)</f>
      </c>
      <c r="H8" s="37">
        <f>IF($B$5="","",$B$5-2)</f>
      </c>
      <c r="I8" s="37">
        <f>IF($B$5="","",$B$5-1)</f>
      </c>
      <c r="J8" s="37">
        <f>IF($B$5="","",$B$5-0)</f>
      </c>
    </row>
    <row r="9" ht="22" customHeight="1" spans="1:16" x14ac:dyDescent="0.25">
      <c r="A9" s="14" t="s">
        <v>52</v>
      </c>
      <c r="B9" s="14" t="s">
        <v>53</v>
      </c>
      <c r="C9" s="16" t="s">
        <v>54</v>
      </c>
      <c r="D9" s="16" t="s">
        <v>55</v>
      </c>
      <c r="E9" s="16" t="s">
        <v>56</v>
      </c>
      <c r="F9" s="16" t="s">
        <v>57</v>
      </c>
      <c r="G9" s="16" t="s">
        <v>58</v>
      </c>
      <c r="H9" s="16" t="s">
        <v>59</v>
      </c>
      <c r="I9" s="16" t="s">
        <v>60</v>
      </c>
      <c r="J9" s="16" t="s">
        <v>61</v>
      </c>
      <c r="K9" s="16" t="s">
        <v>62</v>
      </c>
      <c r="L9" s="16" t="s">
        <v>24</v>
      </c>
      <c r="M9" s="16" t="s">
        <v>25</v>
      </c>
      <c r="N9" s="16" t="s">
        <v>63</v>
      </c>
      <c r="O9" s="16" t="s">
        <v>64</v>
      </c>
      <c r="P9" s="16" t="s">
        <v>65</v>
      </c>
    </row>
    <row r="10" spans="1:16" x14ac:dyDescent="0.25">
      <c r="A10" s="19"/>
      <c r="B10" s="19"/>
      <c r="C10" s="38"/>
      <c r="D10" s="39"/>
      <c r="E10" s="39"/>
      <c r="F10" s="39"/>
      <c r="G10" s="39"/>
      <c r="H10" s="39"/>
      <c r="I10" s="39"/>
      <c r="J10" s="39"/>
      <c r="K10" s="22">
        <f>IF(COUNT(D10:J10)=0,"",SUM(D10:J10))</f>
      </c>
      <c r="L10" s="22">
        <f>IF(K10="","",MIN(K10,$N$5))</f>
      </c>
      <c r="M10" s="22">
        <f>IF(K10="","",K10-L10)</f>
      </c>
      <c r="N10" s="40">
        <f>IF(OR(K10="",C10=""),"",L10*C10)</f>
      </c>
      <c r="O10" s="40">
        <f>IF(OR(K10="",C10=""),"",M10*C10*$N$6)</f>
      </c>
      <c r="P10" s="40">
        <f>IF(OR(K10="",C10=""),"",N10+O10)</f>
      </c>
    </row>
    <row r="11" spans="1:16" x14ac:dyDescent="0.25">
      <c r="A11" s="19"/>
      <c r="B11" s="19"/>
      <c r="C11" s="38"/>
      <c r="D11" s="39"/>
      <c r="E11" s="39"/>
      <c r="F11" s="39"/>
      <c r="G11" s="39"/>
      <c r="H11" s="39"/>
      <c r="I11" s="39"/>
      <c r="J11" s="39"/>
      <c r="K11" s="22">
        <f>IF(COUNT(D11:J11)=0,"",SUM(D11:J11))</f>
      </c>
      <c r="L11" s="22">
        <f>IF(K11="","",MIN(K11,$N$5))</f>
      </c>
      <c r="M11" s="22">
        <f>IF(K11="","",K11-L11)</f>
      </c>
      <c r="N11" s="40">
        <f>IF(OR(K11="",C11=""),"",L11*C11)</f>
      </c>
      <c r="O11" s="40">
        <f>IF(OR(K11="",C11=""),"",M11*C11*$N$6)</f>
      </c>
      <c r="P11" s="40">
        <f>IF(OR(K11="",C11=""),"",N11+O11)</f>
      </c>
    </row>
    <row r="12" spans="1:16" x14ac:dyDescent="0.25">
      <c r="A12" s="19"/>
      <c r="B12" s="19"/>
      <c r="C12" s="38"/>
      <c r="D12" s="39"/>
      <c r="E12" s="39"/>
      <c r="F12" s="39"/>
      <c r="G12" s="39"/>
      <c r="H12" s="39"/>
      <c r="I12" s="39"/>
      <c r="J12" s="39"/>
      <c r="K12" s="22">
        <f>IF(COUNT(D12:J12)=0,"",SUM(D12:J12))</f>
      </c>
      <c r="L12" s="22">
        <f>IF(K12="","",MIN(K12,$N$5))</f>
      </c>
      <c r="M12" s="22">
        <f>IF(K12="","",K12-L12)</f>
      </c>
      <c r="N12" s="40">
        <f>IF(OR(K12="",C12=""),"",L12*C12)</f>
      </c>
      <c r="O12" s="40">
        <f>IF(OR(K12="",C12=""),"",M12*C12*$N$6)</f>
      </c>
      <c r="P12" s="40">
        <f>IF(OR(K12="",C12=""),"",N12+O12)</f>
      </c>
    </row>
    <row r="13" spans="1:16" x14ac:dyDescent="0.25">
      <c r="A13" s="19"/>
      <c r="B13" s="19"/>
      <c r="C13" s="38"/>
      <c r="D13" s="39"/>
      <c r="E13" s="39"/>
      <c r="F13" s="39"/>
      <c r="G13" s="39"/>
      <c r="H13" s="39"/>
      <c r="I13" s="39"/>
      <c r="J13" s="39"/>
      <c r="K13" s="22">
        <f>IF(COUNT(D13:J13)=0,"",SUM(D13:J13))</f>
      </c>
      <c r="L13" s="22">
        <f>IF(K13="","",MIN(K13,$N$5))</f>
      </c>
      <c r="M13" s="22">
        <f>IF(K13="","",K13-L13)</f>
      </c>
      <c r="N13" s="40">
        <f>IF(OR(K13="",C13=""),"",L13*C13)</f>
      </c>
      <c r="O13" s="40">
        <f>IF(OR(K13="",C13=""),"",M13*C13*$N$6)</f>
      </c>
      <c r="P13" s="40">
        <f>IF(OR(K13="",C13=""),"",N13+O13)</f>
      </c>
    </row>
    <row r="14" spans="1:16" x14ac:dyDescent="0.25">
      <c r="A14" s="19"/>
      <c r="B14" s="19"/>
      <c r="C14" s="38"/>
      <c r="D14" s="39"/>
      <c r="E14" s="39"/>
      <c r="F14" s="39"/>
      <c r="G14" s="39"/>
      <c r="H14" s="39"/>
      <c r="I14" s="39"/>
      <c r="J14" s="39"/>
      <c r="K14" s="22">
        <f>IF(COUNT(D14:J14)=0,"",SUM(D14:J14))</f>
      </c>
      <c r="L14" s="22">
        <f>IF(K14="","",MIN(K14,$N$5))</f>
      </c>
      <c r="M14" s="22">
        <f>IF(K14="","",K14-L14)</f>
      </c>
      <c r="N14" s="40">
        <f>IF(OR(K14="",C14=""),"",L14*C14)</f>
      </c>
      <c r="O14" s="40">
        <f>IF(OR(K14="",C14=""),"",M14*C14*$N$6)</f>
      </c>
      <c r="P14" s="40">
        <f>IF(OR(K14="",C14=""),"",N14+O14)</f>
      </c>
    </row>
    <row r="15" spans="1:16" x14ac:dyDescent="0.25">
      <c r="A15" s="19"/>
      <c r="B15" s="19"/>
      <c r="C15" s="38"/>
      <c r="D15" s="39"/>
      <c r="E15" s="39"/>
      <c r="F15" s="39"/>
      <c r="G15" s="39"/>
      <c r="H15" s="39"/>
      <c r="I15" s="39"/>
      <c r="J15" s="39"/>
      <c r="K15" s="22">
        <f>IF(COUNT(D15:J15)=0,"",SUM(D15:J15))</f>
      </c>
      <c r="L15" s="22">
        <f>IF(K15="","",MIN(K15,$N$5))</f>
      </c>
      <c r="M15" s="22">
        <f>IF(K15="","",K15-L15)</f>
      </c>
      <c r="N15" s="40">
        <f>IF(OR(K15="",C15=""),"",L15*C15)</f>
      </c>
      <c r="O15" s="40">
        <f>IF(OR(K15="",C15=""),"",M15*C15*$N$6)</f>
      </c>
      <c r="P15" s="40">
        <f>IF(OR(K15="",C15=""),"",N15+O15)</f>
      </c>
    </row>
    <row r="16" spans="1:16" x14ac:dyDescent="0.25">
      <c r="A16" s="19"/>
      <c r="B16" s="19"/>
      <c r="C16" s="38"/>
      <c r="D16" s="39"/>
      <c r="E16" s="39"/>
      <c r="F16" s="39"/>
      <c r="G16" s="39"/>
      <c r="H16" s="39"/>
      <c r="I16" s="39"/>
      <c r="J16" s="39"/>
      <c r="K16" s="22">
        <f>IF(COUNT(D16:J16)=0,"",SUM(D16:J16))</f>
      </c>
      <c r="L16" s="22">
        <f>IF(K16="","",MIN(K16,$N$5))</f>
      </c>
      <c r="M16" s="22">
        <f>IF(K16="","",K16-L16)</f>
      </c>
      <c r="N16" s="40">
        <f>IF(OR(K16="",C16=""),"",L16*C16)</f>
      </c>
      <c r="O16" s="40">
        <f>IF(OR(K16="",C16=""),"",M16*C16*$N$6)</f>
      </c>
      <c r="P16" s="40">
        <f>IF(OR(K16="",C16=""),"",N16+O16)</f>
      </c>
    </row>
    <row r="17" spans="1:16" x14ac:dyDescent="0.25">
      <c r="A17" s="19"/>
      <c r="B17" s="19"/>
      <c r="C17" s="38"/>
      <c r="D17" s="39"/>
      <c r="E17" s="39"/>
      <c r="F17" s="39"/>
      <c r="G17" s="39"/>
      <c r="H17" s="39"/>
      <c r="I17" s="39"/>
      <c r="J17" s="39"/>
      <c r="K17" s="22">
        <f>IF(COUNT(D17:J17)=0,"",SUM(D17:J17))</f>
      </c>
      <c r="L17" s="22">
        <f>IF(K17="","",MIN(K17,$N$5))</f>
      </c>
      <c r="M17" s="22">
        <f>IF(K17="","",K17-L17)</f>
      </c>
      <c r="N17" s="40">
        <f>IF(OR(K17="",C17=""),"",L17*C17)</f>
      </c>
      <c r="O17" s="40">
        <f>IF(OR(K17="",C17=""),"",M17*C17*$N$6)</f>
      </c>
      <c r="P17" s="40">
        <f>IF(OR(K17="",C17=""),"",N17+O17)</f>
      </c>
    </row>
    <row r="18" spans="1:16" x14ac:dyDescent="0.25">
      <c r="A18" s="19"/>
      <c r="B18" s="19"/>
      <c r="C18" s="38"/>
      <c r="D18" s="39"/>
      <c r="E18" s="39"/>
      <c r="F18" s="39"/>
      <c r="G18" s="39"/>
      <c r="H18" s="39"/>
      <c r="I18" s="39"/>
      <c r="J18" s="39"/>
      <c r="K18" s="22">
        <f>IF(COUNT(D18:J18)=0,"",SUM(D18:J18))</f>
      </c>
      <c r="L18" s="22">
        <f>IF(K18="","",MIN(K18,$N$5))</f>
      </c>
      <c r="M18" s="22">
        <f>IF(K18="","",K18-L18)</f>
      </c>
      <c r="N18" s="40">
        <f>IF(OR(K18="",C18=""),"",L18*C18)</f>
      </c>
      <c r="O18" s="40">
        <f>IF(OR(K18="",C18=""),"",M18*C18*$N$6)</f>
      </c>
      <c r="P18" s="40">
        <f>IF(OR(K18="",C18=""),"",N18+O18)</f>
      </c>
    </row>
    <row r="19" spans="1:16" x14ac:dyDescent="0.25">
      <c r="A19" s="19"/>
      <c r="B19" s="19"/>
      <c r="C19" s="38"/>
      <c r="D19" s="39"/>
      <c r="E19" s="39"/>
      <c r="F19" s="39"/>
      <c r="G19" s="39"/>
      <c r="H19" s="39"/>
      <c r="I19" s="39"/>
      <c r="J19" s="39"/>
      <c r="K19" s="22">
        <f>IF(COUNT(D19:J19)=0,"",SUM(D19:J19))</f>
      </c>
      <c r="L19" s="22">
        <f>IF(K19="","",MIN(K19,$N$5))</f>
      </c>
      <c r="M19" s="22">
        <f>IF(K19="","",K19-L19)</f>
      </c>
      <c r="N19" s="40">
        <f>IF(OR(K19="",C19=""),"",L19*C19)</f>
      </c>
      <c r="O19" s="40">
        <f>IF(OR(K19="",C19=""),"",M19*C19*$N$6)</f>
      </c>
      <c r="P19" s="40">
        <f>IF(OR(K19="",C19=""),"",N19+O19)</f>
      </c>
    </row>
    <row r="20" spans="1:16" x14ac:dyDescent="0.25">
      <c r="A20" s="19"/>
      <c r="B20" s="19"/>
      <c r="C20" s="38"/>
      <c r="D20" s="39"/>
      <c r="E20" s="39"/>
      <c r="F20" s="39"/>
      <c r="G20" s="39"/>
      <c r="H20" s="39"/>
      <c r="I20" s="39"/>
      <c r="J20" s="39"/>
      <c r="K20" s="22">
        <f>IF(COUNT(D20:J20)=0,"",SUM(D20:J20))</f>
      </c>
      <c r="L20" s="22">
        <f>IF(K20="","",MIN(K20,$N$5))</f>
      </c>
      <c r="M20" s="22">
        <f>IF(K20="","",K20-L20)</f>
      </c>
      <c r="N20" s="40">
        <f>IF(OR(K20="",C20=""),"",L20*C20)</f>
      </c>
      <c r="O20" s="40">
        <f>IF(OR(K20="",C20=""),"",M20*C20*$N$6)</f>
      </c>
      <c r="P20" s="40">
        <f>IF(OR(K20="",C20=""),"",N20+O20)</f>
      </c>
    </row>
    <row r="21" spans="1:16" x14ac:dyDescent="0.25">
      <c r="A21" s="19"/>
      <c r="B21" s="19"/>
      <c r="C21" s="38"/>
      <c r="D21" s="39"/>
      <c r="E21" s="39"/>
      <c r="F21" s="39"/>
      <c r="G21" s="39"/>
      <c r="H21" s="39"/>
      <c r="I21" s="39"/>
      <c r="J21" s="39"/>
      <c r="K21" s="22">
        <f>IF(COUNT(D21:J21)=0,"",SUM(D21:J21))</f>
      </c>
      <c r="L21" s="22">
        <f>IF(K21="","",MIN(K21,$N$5))</f>
      </c>
      <c r="M21" s="22">
        <f>IF(K21="","",K21-L21)</f>
      </c>
      <c r="N21" s="40">
        <f>IF(OR(K21="",C21=""),"",L21*C21)</f>
      </c>
      <c r="O21" s="40">
        <f>IF(OR(K21="",C21=""),"",M21*C21*$N$6)</f>
      </c>
      <c r="P21" s="40">
        <f>IF(OR(K21="",C21=""),"",N21+O21)</f>
      </c>
    </row>
    <row r="22" spans="1:16" x14ac:dyDescent="0.25">
      <c r="A22" s="19"/>
      <c r="B22" s="19"/>
      <c r="C22" s="38"/>
      <c r="D22" s="39"/>
      <c r="E22" s="39"/>
      <c r="F22" s="39"/>
      <c r="G22" s="39"/>
      <c r="H22" s="39"/>
      <c r="I22" s="39"/>
      <c r="J22" s="39"/>
      <c r="K22" s="22">
        <f>IF(COUNT(D22:J22)=0,"",SUM(D22:J22))</f>
      </c>
      <c r="L22" s="22">
        <f>IF(K22="","",MIN(K22,$N$5))</f>
      </c>
      <c r="M22" s="22">
        <f>IF(K22="","",K22-L22)</f>
      </c>
      <c r="N22" s="40">
        <f>IF(OR(K22="",C22=""),"",L22*C22)</f>
      </c>
      <c r="O22" s="40">
        <f>IF(OR(K22="",C22=""),"",M22*C22*$N$6)</f>
      </c>
      <c r="P22" s="40">
        <f>IF(OR(K22="",C22=""),"",N22+O22)</f>
      </c>
    </row>
    <row r="23" spans="1:16" x14ac:dyDescent="0.25">
      <c r="A23" s="19"/>
      <c r="B23" s="19"/>
      <c r="C23" s="38"/>
      <c r="D23" s="39"/>
      <c r="E23" s="39"/>
      <c r="F23" s="39"/>
      <c r="G23" s="39"/>
      <c r="H23" s="39"/>
      <c r="I23" s="39"/>
      <c r="J23" s="39"/>
      <c r="K23" s="22">
        <f>IF(COUNT(D23:J23)=0,"",SUM(D23:J23))</f>
      </c>
      <c r="L23" s="22">
        <f>IF(K23="","",MIN(K23,$N$5))</f>
      </c>
      <c r="M23" s="22">
        <f>IF(K23="","",K23-L23)</f>
      </c>
      <c r="N23" s="40">
        <f>IF(OR(K23="",C23=""),"",L23*C23)</f>
      </c>
      <c r="O23" s="40">
        <f>IF(OR(K23="",C23=""),"",M23*C23*$N$6)</f>
      </c>
      <c r="P23" s="40">
        <f>IF(OR(K23="",C23=""),"",N23+O23)</f>
      </c>
    </row>
    <row r="24" spans="1:16" x14ac:dyDescent="0.25">
      <c r="A24" s="19"/>
      <c r="B24" s="19"/>
      <c r="C24" s="38"/>
      <c r="D24" s="39"/>
      <c r="E24" s="39"/>
      <c r="F24" s="39"/>
      <c r="G24" s="39"/>
      <c r="H24" s="39"/>
      <c r="I24" s="39"/>
      <c r="J24" s="39"/>
      <c r="K24" s="22">
        <f>IF(COUNT(D24:J24)=0,"",SUM(D24:J24))</f>
      </c>
      <c r="L24" s="22">
        <f>IF(K24="","",MIN(K24,$N$5))</f>
      </c>
      <c r="M24" s="22">
        <f>IF(K24="","",K24-L24)</f>
      </c>
      <c r="N24" s="40">
        <f>IF(OR(K24="",C24=""),"",L24*C24)</f>
      </c>
      <c r="O24" s="40">
        <f>IF(OR(K24="",C24=""),"",M24*C24*$N$6)</f>
      </c>
      <c r="P24" s="40">
        <f>IF(OR(K24="",C24=""),"",N24+O24)</f>
      </c>
    </row>
    <row r="25" ht="22" customHeight="1" spans="1:16" x14ac:dyDescent="0.25">
      <c r="A25" s="25" t="s">
        <v>66</v>
      </c>
      <c r="B25" s="25">
        <f>COUNTA(A10:A24)&amp;" people"</f>
      </c>
      <c r="C25" s="25"/>
      <c r="D25" s="26">
        <f>SUM(D10:D24)</f>
      </c>
      <c r="E25" s="26">
        <f>SUM(E10:E24)</f>
      </c>
      <c r="F25" s="26">
        <f>SUM(F10:F24)</f>
      </c>
      <c r="G25" s="26">
        <f>SUM(G10:G24)</f>
      </c>
      <c r="H25" s="26">
        <f>SUM(H10:H24)</f>
      </c>
      <c r="I25" s="26">
        <f>SUM(I10:I24)</f>
      </c>
      <c r="J25" s="26">
        <f>SUM(J10:J24)</f>
      </c>
      <c r="K25" s="26">
        <f>SUM(K10:K24)</f>
      </c>
      <c r="L25" s="26">
        <f>SUM(L10:L24)</f>
      </c>
      <c r="M25" s="26">
        <f>SUM(M10:M24)</f>
      </c>
      <c r="N25" s="41">
        <f>SUM(N10:N24)</f>
      </c>
      <c r="O25" s="41">
        <f>SUM(O10:O24)</f>
      </c>
      <c r="P25" s="41">
        <f>SUM(P10:P24)</f>
      </c>
    </row>
    <row r="27" ht="16" customHeight="1" spans="1:16" x14ac:dyDescent="0.25">
      <c r="A27" s="35" t="s">
        <v>67</v>
      </c>
      <c r="B27" s="35"/>
      <c r="C27" s="35"/>
      <c r="D27" s="35"/>
      <c r="E27" s="35"/>
      <c r="F27" s="35"/>
      <c r="G27" s="35"/>
      <c r="H27" s="35"/>
      <c r="I27" s="35"/>
      <c r="J27" s="35"/>
      <c r="K27" s="35"/>
      <c r="L27" s="35"/>
      <c r="M27" s="35"/>
      <c r="N27" s="35"/>
      <c r="O27" s="35"/>
      <c r="P27" s="35"/>
    </row>
  </sheetData>
  <mergeCells count="7">
    <mergeCell ref="D5:E5"/>
    <mergeCell ref="F5:I5"/>
    <mergeCell ref="K5:M5"/>
    <mergeCell ref="D6:E6"/>
    <mergeCell ref="F6:I6"/>
    <mergeCell ref="K6:M6"/>
    <mergeCell ref="A27:P27"/>
  </mergeCells>
  <hyperlinks>
    <hyperlink ref="A27" r:id="rId1"/>
  </hyperlinks>
  <printOptions horizontalCentered="1"/>
  <pageMargins left="0.5" right="0.5" top="0.6" bottom="0.6" header="0.3" footer="0.3"/>
  <pageSetup paperSize="1" orientation="landscape" horizontalDpi="4294967295" verticalDpi="4294967295" scale="100" fitToWidth="1" fitToHeight="1"/>
  <headerFooter>
    <oddFooter>&amp;L&amp;8&amp;K8B93A1Free template by BuildWorkPro · buildworkpro.com/templates&amp;C&amp;8&amp;K8B93A1Crew Summary&amp;R&amp;8&amp;K8B93A1Page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9"/>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68</v>
      </c>
    </row>
    <row r="2" ht="6" customHeight="1" spans="1:2" x14ac:dyDescent="0.25">
      <c r="A2" s="4"/>
      <c r="B2" s="4"/>
    </row>
    <row r="4" ht="30" customHeight="1" spans="1:2" x14ac:dyDescent="0.25">
      <c r="A4" s="42" t="s">
        <v>69</v>
      </c>
      <c r="B4" s="43" t="s">
        <v>70</v>
      </c>
    </row>
    <row r="5" ht="45" customHeight="1" spans="1:2" x14ac:dyDescent="0.25">
      <c r="A5" s="42" t="s">
        <v>71</v>
      </c>
      <c r="B5" s="43" t="s">
        <v>72</v>
      </c>
    </row>
    <row r="6" ht="45" customHeight="1" spans="1:2" x14ac:dyDescent="0.25">
      <c r="A6" s="42" t="s">
        <v>73</v>
      </c>
      <c r="B6" s="43" t="s">
        <v>74</v>
      </c>
    </row>
    <row r="7" ht="45" customHeight="1" spans="1:2" x14ac:dyDescent="0.25">
      <c r="A7" s="42" t="s">
        <v>75</v>
      </c>
      <c r="B7" s="43" t="s">
        <v>76</v>
      </c>
    </row>
    <row r="8" ht="30" customHeight="1" spans="1:2" x14ac:dyDescent="0.25">
      <c r="A8" s="42" t="s">
        <v>77</v>
      </c>
      <c r="B8" s="43" t="s">
        <v>78</v>
      </c>
    </row>
    <row r="9" ht="30" customHeight="1" spans="1:2" x14ac:dyDescent="0.25">
      <c r="A9" s="42" t="s">
        <v>79</v>
      </c>
      <c r="B9" s="43" t="s">
        <v>80</v>
      </c>
    </row>
    <row r="11" spans="2:2" x14ac:dyDescent="0.25">
      <c r="B11" s="7" t="s">
        <v>81</v>
      </c>
    </row>
    <row r="12" ht="30" customHeight="1" spans="1:2" x14ac:dyDescent="0.25">
      <c r="A12" s="44" t="s">
        <v>82</v>
      </c>
      <c r="B12" s="45" t="s">
        <v>83</v>
      </c>
    </row>
    <row r="13" ht="30" customHeight="1" spans="1:2" x14ac:dyDescent="0.25">
      <c r="A13" s="44" t="s">
        <v>82</v>
      </c>
      <c r="B13" s="45" t="s">
        <v>84</v>
      </c>
    </row>
    <row r="14" ht="30" customHeight="1" spans="1:2" x14ac:dyDescent="0.25">
      <c r="A14" s="44" t="s">
        <v>82</v>
      </c>
      <c r="B14" s="45" t="s">
        <v>85</v>
      </c>
    </row>
    <row r="16" ht="44" customHeight="1" spans="1:2" x14ac:dyDescent="0.25">
      <c r="A16" s="31" t="s">
        <v>86</v>
      </c>
      <c r="B16" s="31"/>
    </row>
    <row r="17" spans="2:2" x14ac:dyDescent="0.25">
      <c r="B17" s="46" t="s">
        <v>87</v>
      </c>
    </row>
    <row r="19" ht="78" customHeight="1" spans="1:2" x14ac:dyDescent="0.25">
      <c r="A19" s="35" t="s">
        <v>88</v>
      </c>
      <c r="B19" s="35"/>
    </row>
  </sheetData>
  <mergeCells count="2">
    <mergeCell ref="A16:B16"/>
    <mergeCell ref="A19:B19"/>
  </mergeCells>
  <hyperlinks>
    <hyperlink ref="B17" r:id="rId1"/>
    <hyperlink ref="A19"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Timesheet</vt:lpstr>
      <vt:lpstr>Crew Summary</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Construction Timesheet Template</dc:title>
  <dc:subject>Construction Timesheet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