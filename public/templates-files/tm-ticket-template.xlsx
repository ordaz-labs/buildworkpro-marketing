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&amp;M Ticket" state="visible" r:id="rId4"/>
    <sheet sheetId="2" name="T&amp;M Log" state="visible" r:id="rId5"/>
    <sheet sheetId="3" name="How to Use" state="visible" r:id="rId6"/>
  </sheets>
  <definedNames>
    <definedName name="_xlnm.Print_Area" localSheetId="0">'T&amp;M Ticket'!$A1:$G64</definedName>
    <definedName name="_xlnm.Print_Titles" localSheetId="1">'T&amp;M Log'!$1:$6</definedName>
  </definedNames>
  <calcPr calcId="171027" fullCalcOnLoad="1"/>
</workbook>
</file>

<file path=xl/sharedStrings.xml><?xml version="1.0" encoding="utf-8"?>
<sst xmlns="http://schemas.openxmlformats.org/spreadsheetml/2006/main" count="101" uniqueCount="87">
  <si>
    <t>Time &amp; Materials Ticket</t>
  </si>
  <si>
    <t>Print: fits one page</t>
  </si>
  <si>
    <t>Record extra work the same day it happens. Hours × rate, overtime, qty × unit cost and the ticket total compute automatically.</t>
  </si>
  <si>
    <t>Amber cells are yours to fill in. Everything else calculates.</t>
  </si>
  <si>
    <t>YOUR COMPANY</t>
  </si>
  <si>
    <t>TICKET</t>
  </si>
  <si>
    <t>Company</t>
  </si>
  <si>
    <t>Ticket no.</t>
  </si>
  <si>
    <t>Address</t>
  </si>
  <si>
    <t>Date of work</t>
  </si>
  <si>
    <t>Phone / email</t>
  </si>
  <si>
    <t>Directed by</t>
  </si>
  <si>
    <t>PROJECT</t>
  </si>
  <si>
    <t>REFERENCE</t>
  </si>
  <si>
    <t>Project name</t>
  </si>
  <si>
    <t>Location / area</t>
  </si>
  <si>
    <t>To (GC / owner)</t>
  </si>
  <si>
    <t>Directive / RFI / drawing</t>
  </si>
  <si>
    <t>Authorization</t>
  </si>
  <si>
    <t>Change order ref.</t>
  </si>
  <si>
    <t>DESCRIPTION OF EXTRA WORK — WHAT, WHERE, WHY IT IS OUTSIDE SCOPE, AND WHO DIRECTED IT</t>
  </si>
  <si>
    <t>Overtime multiplier →</t>
  </si>
  <si>
    <t>NAME</t>
  </si>
  <si>
    <t>TRADE / CLASSIFICATION</t>
  </si>
  <si>
    <t>ST HOURS</t>
  </si>
  <si>
    <t>RATE</t>
  </si>
  <si>
    <t>ST AMOUNT</t>
  </si>
  <si>
    <t>OT HOURS</t>
  </si>
  <si>
    <t>OT AMOUNT</t>
  </si>
  <si>
    <t/>
  </si>
  <si>
    <t>Labor subtotal (ST + OT)</t>
  </si>
  <si>
    <t>MATERIALS</t>
  </si>
  <si>
    <t>QTY</t>
  </si>
  <si>
    <t>UNIT</t>
  </si>
  <si>
    <t>UNIT COST</t>
  </si>
  <si>
    <t>AMOUNT</t>
  </si>
  <si>
    <t>Materials subtotal</t>
  </si>
  <si>
    <t>EQUIPMENT · RENTALS</t>
  </si>
  <si>
    <t>HRS / DAYS</t>
  </si>
  <si>
    <t>Equipment subtotal</t>
  </si>
  <si>
    <t>Subtotal (labor + OT + materials + equipment)</t>
  </si>
  <si>
    <t>Overhead &amp; profit — enter rate →</t>
  </si>
  <si>
    <t>TICKET TOTAL</t>
  </si>
  <si>
    <t>NOTES — TIMES, WHAT WAS WITNESSED, CONDITIONS FOUND, PHOTO REFERENCES</t>
  </si>
  <si>
    <t>Signed the same day. The GC representative's signature acknowledges the hours, materials and equipment recorded were expended on the described work; adjustment to the contract sum and time follows by change order.</t>
  </si>
  <si>
    <t>SUBCONTRACTOR (FOREMAN / LEAD)</t>
  </si>
  <si>
    <t>GC / OWNER REPRESENTATIVE</t>
  </si>
  <si>
    <t>SIGNATURE</t>
  </si>
  <si>
    <t>PRINTED NAME / TITLE</t>
  </si>
  <si>
    <t>DATE</t>
  </si>
  <si>
    <t>Free template by BuildWorkPro — buildworkpro.com/templates. A T&amp;M ticket documents cost; it is not a change order until both parties sign one. Rates and markup follow your contract.</t>
  </si>
  <si>
    <t>T&amp;M Ticket Log</t>
  </si>
  <si>
    <t>One row per ticket. Status shows which tickets are still waiting on a change order — the ones that are not yet money.</t>
  </si>
  <si>
    <t>Awaiting change order</t>
  </si>
  <si>
    <t>Value awaiting CO</t>
  </si>
  <si>
    <t>In signed COs</t>
  </si>
  <si>
    <t>TICKET #</t>
  </si>
  <si>
    <t>DATE OF WORK</t>
  </si>
  <si>
    <t>EXTRA WORK</t>
  </si>
  <si>
    <t>DIRECTED BY</t>
  </si>
  <si>
    <t>LABOR HRS</t>
  </si>
  <si>
    <t>SIGNED?</t>
  </si>
  <si>
    <t>CO REF.</t>
  </si>
  <si>
    <t>STATUS</t>
  </si>
  <si>
    <t>Totals</t>
  </si>
  <si>
    <t>Free template by BuildWorkPro — buildworkpro.com/templates. A ticket marked Awaiting CO is documented cost that has not become contract value yet. Chase those first.</t>
  </si>
  <si>
    <t>How to use the T&amp;M Ticket Template</t>
  </si>
  <si>
    <t>1.</t>
  </si>
  <si>
    <t>On the T&amp;M Ticket sheet, fill your company, the project, who the ticket goes to, the date of the work and who directed it. Amber cells are inputs.</t>
  </si>
  <si>
    <t>2.</t>
  </si>
  <si>
    <t>Pick the authorization type — written directive, verbal confirmed by email, or verbal not confirmed — and reference the directive, RFI or drawing revision. Describe the extra work and why it is outside the contract scope.</t>
  </si>
  <si>
    <t>3.</t>
  </si>
  <si>
    <t>Enter labor by name and classification: straight-time hours and rate, and any overtime hours. ST amount, OT amount (at the overtime multiplier, default 1.5×) and the labor subtotal calculate.</t>
  </si>
  <si>
    <t>4.</t>
  </si>
  <si>
    <t>Enter materials (qty × unit cost) and equipment or rentals (hours or days × rate). Section subtotals, the ticket subtotal, overhead &amp; profit at your rate and the ticket total calculate.</t>
  </si>
  <si>
    <t>5.</t>
  </si>
  <si>
    <t>Add notes — times, what the GC witnessed, photo references — then print (fits one page) and get the GC superintendent to sign the same day.</t>
  </si>
  <si>
    <t>6.</t>
  </si>
  <si>
    <t>Log every ticket on the T&amp;M Log sheet with its status. The counts at the top show how many tickets and how much value are still waiting on a change order.</t>
  </si>
  <si>
    <t>TIPS FROM THE FIELD</t>
  </si>
  <si>
    <t>•</t>
  </si>
  <si>
    <t>A signed ticket is proof of cost, not a change order. Roll it into a change order that week so the amount reaches the contract sum and the next pay application.</t>
  </si>
  <si>
    <t>If the super will not sign, write "directed, not signed" in the notes, send a confirming email the same day and note it in your daily report. A refused signature is still a record.</t>
  </si>
  <si>
    <t>Use the rates in your subcontract. If there are none, agree rates in writing before the extra work starts — not after.</t>
  </si>
  <si>
    <t>In BuildWorkPro, crew hours are logged against the project in quarter-hour steps with per-person labor rates, so the cost of directed work is on the record the day it happens — and a change order the customer e-signs carries it into the contract value and the next pay application.</t>
  </si>
  <si>
    <t>https://buildworkpro.com/features/time-tracking/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</si>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</sst>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m d, yyyy"/>
    <numFmt numFmtId="165" formatCode="0.0&quot;×&quot;"/>
    <numFmt numFmtId="166" formatCode="0.00;-0.00;&quot;&quot;"/>
    <numFmt numFmtId="167" formatCode="&quot;$&quot;#,##0.00;[Red]-&quot;$&quot;#,##0.00;&quot;&quot;"/>
    <numFmt numFmtId="168" formatCode="&quot;$&quot;#,##0.00;[Red]-&quot;$&quot;#,##0.00"/>
    <numFmt numFmtId="169" formatCode="0.##;-0.##;&quot;&quot;"/>
    <numFmt numFmtId="170" formatCode="0.0%"/>
  </numFmts>
  <fonts count="17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b/>
      <color rgb="FF8B93A1"/>
      <sz val="7.5"/>
      <name val="Calibri"/>
    </font>
    <font>
      <color rgb="FF4A5260"/>
      <sz val="9"/>
      <name val="Calibri"/>
    </font>
    <font>
      <b/>
      <color rgb="FF4A5260"/>
      <sz val="7.5"/>
      <name val="Calibri"/>
    </font>
    <font>
      <b/>
      <color rgb="FF1B1F24"/>
      <sz val="10"/>
      <name val="Calibri"/>
    </font>
    <font>
      <color rgb="FF4A5260"/>
      <sz val="9.5"/>
      <name val="Calibri"/>
    </font>
    <font>
      <b/>
      <color rgb="FF4A5260"/>
      <sz val="8"/>
      <name val="Calibri"/>
    </font>
    <font>
      <color rgb="FF8B93A1"/>
      <sz val="7"/>
      <name val="Calibri"/>
    </font>
    <font>
      <color rgb="FF8B93A1"/>
      <sz val="8"/>
      <name val="Calibri"/>
    </font>
    <font>
      <b/>
      <sz val="10"/>
      <name val="Calibri"/>
    </font>
    <font>
      <b/>
      <color rgb="FF4A5260"/>
      <sz val="10"/>
      <name val="Calibri"/>
    </font>
    <font>
      <u/>
      <color rgb="FF2563E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 style="medium">
        <color rgb="FF2563EB"/>
      </left>
      <right/>
      <top/>
      <bottom/>
      <diagonal/>
    </border>
    <border>
      <left/>
      <right/>
      <top/>
      <bottom style="thin">
        <color rgb="FF1B1F2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right" vertical="top"/>
    </xf>
    <xf numFmtId="165" fontId="4" fillId="2" borderId="2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bottom" wrapText="1"/>
    </xf>
    <xf numFmtId="0" fontId="8" fillId="3" borderId="3" xfId="0" applyFont="1" applyFill="1" applyBorder="1" applyAlignment="1">
      <alignment horizontal="right" vertical="bottom" wrapText="1"/>
    </xf>
    <xf numFmtId="0" fontId="4" fillId="2" borderId="4" xfId="0" applyFont="1" applyFill="1" applyBorder="1" applyAlignment="1">
      <alignment horizontal="left" vertical="center"/>
    </xf>
    <xf numFmtId="166" fontId="4" fillId="2" borderId="4" xfId="0" applyNumberFormat="1" applyFont="1" applyFill="1" applyBorder="1" applyAlignment="1">
      <alignment horizontal="right" vertical="center"/>
    </xf>
    <xf numFmtId="167" fontId="4" fillId="2" borderId="4" xfId="0" applyNumberFormat="1" applyFont="1" applyFill="1" applyBorder="1" applyAlignment="1">
      <alignment horizontal="right" vertical="center"/>
    </xf>
    <xf numFmtId="167" fontId="4" fillId="0" borderId="4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2" fontId="9" fillId="0" borderId="5" xfId="0" applyNumberFormat="1" applyFont="1" applyBorder="1" applyAlignment="1">
      <alignment horizontal="right" vertical="center"/>
    </xf>
    <xf numFmtId="168" fontId="9" fillId="0" borderId="5" xfId="0" applyNumberFormat="1" applyFont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bottom" wrapText="1"/>
    </xf>
    <xf numFmtId="169" fontId="4" fillId="2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top"/>
    </xf>
    <xf numFmtId="168" fontId="4" fillId="0" borderId="0" xfId="0" applyNumberFormat="1" applyFont="1" applyAlignment="1">
      <alignment horizontal="right" vertical="center"/>
    </xf>
    <xf numFmtId="170" fontId="4" fillId="2" borderId="2" xfId="0" applyNumberFormat="1" applyFont="1" applyFill="1" applyBorder="1" applyAlignment="1">
      <alignment horizontal="right" vertical="center"/>
    </xf>
    <xf numFmtId="0" fontId="7" fillId="3" borderId="6" xfId="0" applyFont="1" applyFill="1" applyBorder="1" applyAlignment="1">
      <alignment vertical="center" wrapText="1" indent="1"/>
    </xf>
    <xf numFmtId="0" fontId="11" fillId="0" borderId="0" xfId="0" applyFont="1"/>
    <xf numFmtId="0" fontId="4" fillId="0" borderId="7" xfId="0" applyFont="1" applyBorder="1"/>
    <xf numFmtId="0" fontId="12" fillId="0" borderId="0" xfId="0" applyFont="1"/>
    <xf numFmtId="0" fontId="13" fillId="0" borderId="0" xfId="0" applyFont="1" applyAlignment="1">
      <alignment vertical="top" wrapText="1"/>
    </xf>
    <xf numFmtId="1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16" fillId="0" borderId="0" xfId="0" applyFont="1"/>
  </cellXfs>
  <cellStyles count="1">
    <cellStyle name="Normal" xfId="0" builtinId="0"/>
  </cellStyles>
  <dxfs count="6">
    <dxf>
      <fill>
        <patternFill patternType="solid">
          <bgColor rgb="FFE6F4EA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7E6"/>
        </patternFill>
      </fill>
    </dxf>
    <dxf>
      <fill>
        <patternFill patternType="solid">
          <bgColor rgb="FFFDE8E6"/>
        </patternFill>
      </fill>
    </dxf>
    <dxf>
      <fill>
        <patternFill patternType="solid">
          <bgColor rgb="FFFDE8E6"/>
        </patternFill>
      </fill>
    </dxf>
    <dxf>
      <fill>
        <patternFill patternType="solid">
          <bgColor rgb="FFFFF7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time-tracking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26" customWidth="1"/>
    <col min="4" max="4" width="11" customWidth="1"/>
    <col min="5" max="5" width="13" customWidth="1"/>
    <col min="7" max="7" width="14" customWidth="1"/>
  </cols>
  <sheetData>
    <row r="1" ht="30" customHeight="1" spans="1:7" x14ac:dyDescent="0.25">
      <c r="A1" s="1" t="s">
        <v>0</v>
      </c>
      <c r="F1" s="2" t="s">
        <v>1</v>
      </c>
      <c r="G1" s="2"/>
    </row>
    <row r="2" spans="1:1" x14ac:dyDescent="0.25">
      <c r="A2" s="3" t="s">
        <v>2</v>
      </c>
    </row>
    <row r="3" ht="6" customHeight="1" spans="1:7" x14ac:dyDescent="0.25">
      <c r="A3" s="4"/>
      <c r="B3" s="4"/>
      <c r="C3" s="4"/>
      <c r="D3" s="4"/>
      <c r="E3" s="4"/>
      <c r="F3" s="4"/>
      <c r="G3" s="4"/>
    </row>
    <row r="4" spans="1:2" x14ac:dyDescent="0.25">
      <c r="A4" s="5"/>
      <c r="B4" s="6" t="s">
        <v>3</v>
      </c>
    </row>
    <row r="6" spans="1:4" x14ac:dyDescent="0.25">
      <c r="A6" s="7" t="s">
        <v>4</v>
      </c>
      <c r="D6" s="7" t="s">
        <v>5</v>
      </c>
    </row>
    <row r="7" spans="1:7" x14ac:dyDescent="0.25">
      <c r="A7" s="8" t="s">
        <v>6</v>
      </c>
      <c r="B7" s="9"/>
      <c r="D7" s="8" t="s">
        <v>7</v>
      </c>
      <c r="E7" s="8"/>
      <c r="F7" s="9"/>
      <c r="G7" s="9"/>
    </row>
    <row r="8" spans="1:7" x14ac:dyDescent="0.25">
      <c r="A8" s="8" t="s">
        <v>8</v>
      </c>
      <c r="B8" s="9"/>
      <c r="D8" s="8" t="s">
        <v>9</v>
      </c>
      <c r="E8" s="8"/>
      <c r="F8" s="10"/>
      <c r="G8" s="10"/>
    </row>
    <row r="9" spans="1:7" x14ac:dyDescent="0.25">
      <c r="A9" s="8" t="s">
        <v>10</v>
      </c>
      <c r="B9" s="9"/>
      <c r="D9" s="8" t="s">
        <v>11</v>
      </c>
      <c r="E9" s="8"/>
      <c r="F9" s="9"/>
      <c r="G9" s="9"/>
    </row>
    <row r="11" spans="1:4" x14ac:dyDescent="0.25">
      <c r="A11" s="7" t="s">
        <v>12</v>
      </c>
      <c r="D11" s="7" t="s">
        <v>13</v>
      </c>
    </row>
    <row r="12" spans="1:7" x14ac:dyDescent="0.25">
      <c r="A12" s="8" t="s">
        <v>14</v>
      </c>
      <c r="B12" s="9"/>
      <c r="D12" s="8" t="s">
        <v>15</v>
      </c>
      <c r="E12" s="8"/>
      <c r="F12" s="9"/>
      <c r="G12" s="9"/>
    </row>
    <row r="13" spans="1:7" x14ac:dyDescent="0.25">
      <c r="A13" s="8" t="s">
        <v>16</v>
      </c>
      <c r="B13" s="9"/>
      <c r="D13" s="8" t="s">
        <v>17</v>
      </c>
      <c r="E13" s="8"/>
      <c r="F13" s="9"/>
      <c r="G13" s="9"/>
    </row>
    <row r="14" spans="1:7" x14ac:dyDescent="0.25">
      <c r="A14" s="8" t="s">
        <v>18</v>
      </c>
      <c r="B14" s="9"/>
      <c r="D14" s="8" t="s">
        <v>19</v>
      </c>
      <c r="E14" s="8"/>
      <c r="F14" s="9"/>
      <c r="G14" s="9"/>
    </row>
    <row r="16" spans="1:1" x14ac:dyDescent="0.25">
      <c r="A16" s="7" t="s">
        <v>20</v>
      </c>
    </row>
    <row r="17" ht="18" customHeight="1" spans="1:7" x14ac:dyDescent="0.25">
      <c r="A17" s="11"/>
      <c r="B17" s="11"/>
      <c r="C17" s="11"/>
      <c r="D17" s="11"/>
      <c r="E17" s="11"/>
      <c r="F17" s="11"/>
      <c r="G17" s="11"/>
    </row>
    <row r="18" ht="18" customHeight="1" spans="1:7" x14ac:dyDescent="0.25">
      <c r="A18" s="11"/>
      <c r="B18" s="11"/>
      <c r="C18" s="11"/>
      <c r="D18" s="11"/>
      <c r="E18" s="11"/>
      <c r="F18" s="11"/>
      <c r="G18" s="11"/>
    </row>
    <row r="19" ht="18" customHeight="1" spans="1:7" x14ac:dyDescent="0.25">
      <c r="A19" s="11"/>
      <c r="B19" s="11"/>
      <c r="C19" s="11"/>
      <c r="D19" s="11"/>
      <c r="E19" s="11"/>
      <c r="F19" s="11"/>
      <c r="G19" s="11"/>
    </row>
    <row r="21" spans="5:7" x14ac:dyDescent="0.25">
      <c r="E21" s="12" t="s">
        <v>21</v>
      </c>
      <c r="F21" s="12"/>
      <c r="G21" s="13">
        <v>1.5</v>
      </c>
    </row>
    <row r="22" ht="22" customHeight="1" spans="1:7" x14ac:dyDescent="0.25">
      <c r="A22" s="14" t="s">
        <v>22</v>
      </c>
      <c r="B22" s="14" t="s">
        <v>23</v>
      </c>
      <c r="C22" s="15" t="s">
        <v>24</v>
      </c>
      <c r="D22" s="15" t="s">
        <v>25</v>
      </c>
      <c r="E22" s="15" t="s">
        <v>26</v>
      </c>
      <c r="F22" s="15" t="s">
        <v>27</v>
      </c>
      <c r="G22" s="15" t="s">
        <v>28</v>
      </c>
    </row>
    <row r="23" spans="1:7" x14ac:dyDescent="0.25">
      <c r="A23" s="16"/>
      <c r="B23" s="16"/>
      <c r="C23" s="17"/>
      <c r="D23" s="18"/>
      <c r="E23" s="19">
        <f>IF(OR(C23="",D23=""),"",C23*D23)</f>
      </c>
      <c r="F23" s="17"/>
      <c r="G23" s="19">
        <f>IF(OR(F23="",D23=""),"",F23*D23*$G$21)</f>
      </c>
    </row>
    <row r="24" spans="1:7" x14ac:dyDescent="0.25">
      <c r="A24" s="16"/>
      <c r="B24" s="16"/>
      <c r="C24" s="17"/>
      <c r="D24" s="18"/>
      <c r="E24" s="19">
        <f>IF(OR(C24="",D24=""),"",C24*D24)</f>
      </c>
      <c r="F24" s="17"/>
      <c r="G24" s="19">
        <f>IF(OR(F24="",D24=""),"",F24*D24*$G$21)</f>
      </c>
    </row>
    <row r="25" spans="1:7" x14ac:dyDescent="0.25">
      <c r="A25" s="16"/>
      <c r="B25" s="16"/>
      <c r="C25" s="17"/>
      <c r="D25" s="18"/>
      <c r="E25" s="19">
        <f>IF(OR(C25="",D25=""),"",C25*D25)</f>
      </c>
      <c r="F25" s="17"/>
      <c r="G25" s="19">
        <f>IF(OR(F25="",D25=""),"",F25*D25*$G$21)</f>
      </c>
    </row>
    <row r="26" spans="1:7" x14ac:dyDescent="0.25">
      <c r="A26" s="16"/>
      <c r="B26" s="16"/>
      <c r="C26" s="17"/>
      <c r="D26" s="18"/>
      <c r="E26" s="19">
        <f>IF(OR(C26="",D26=""),"",C26*D26)</f>
      </c>
      <c r="F26" s="17"/>
      <c r="G26" s="19">
        <f>IF(OR(F26="",D26=""),"",F26*D26*$G$21)</f>
      </c>
    </row>
    <row r="27" spans="1:7" x14ac:dyDescent="0.25">
      <c r="A27" s="16"/>
      <c r="B27" s="16"/>
      <c r="C27" s="17"/>
      <c r="D27" s="18"/>
      <c r="E27" s="19">
        <f>IF(OR(C27="",D27=""),"",C27*D27)</f>
      </c>
      <c r="F27" s="17"/>
      <c r="G27" s="19">
        <f>IF(OR(F27="",D27=""),"",F27*D27*$G$21)</f>
      </c>
    </row>
    <row r="28" spans="1:7" x14ac:dyDescent="0.25">
      <c r="A28" s="16"/>
      <c r="B28" s="16"/>
      <c r="C28" s="17"/>
      <c r="D28" s="18"/>
      <c r="E28" s="19">
        <f>IF(OR(C28="",D28=""),"",C28*D28)</f>
      </c>
      <c r="F28" s="17"/>
      <c r="G28" s="19">
        <f>IF(OR(F28="",D28=""),"",F28*D28*$G$21)</f>
      </c>
    </row>
    <row r="29" ht="22" customHeight="1" spans="1:7" x14ac:dyDescent="0.25">
      <c r="A29" s="20" t="s">
        <v>29</v>
      </c>
      <c r="B29" s="20" t="s">
        <v>30</v>
      </c>
      <c r="C29" s="21">
        <f>SUM(C23:C28)</f>
      </c>
      <c r="D29" s="20"/>
      <c r="E29" s="22">
        <f>SUM(E23:E28)</f>
      </c>
      <c r="F29" s="21">
        <f>SUM(F23:F28)</f>
      </c>
      <c r="G29" s="22">
        <f>SUM(G23:G28)</f>
      </c>
    </row>
    <row r="31" ht="22" customHeight="1" spans="1:7" x14ac:dyDescent="0.25">
      <c r="A31" s="14" t="s">
        <v>31</v>
      </c>
      <c r="B31" s="14"/>
      <c r="C31" s="14"/>
      <c r="D31" s="15" t="s">
        <v>32</v>
      </c>
      <c r="E31" s="23" t="s">
        <v>33</v>
      </c>
      <c r="F31" s="15" t="s">
        <v>34</v>
      </c>
      <c r="G31" s="15" t="s">
        <v>35</v>
      </c>
    </row>
    <row r="32" spans="1:7" x14ac:dyDescent="0.25">
      <c r="A32" s="16"/>
      <c r="B32" s="16"/>
      <c r="C32" s="16"/>
      <c r="D32" s="24"/>
      <c r="E32" s="25"/>
      <c r="F32" s="18"/>
      <c r="G32" s="19">
        <f>IF(OR(D32="",F32=""),"",D32*F32)</f>
      </c>
    </row>
    <row r="33" spans="1:7" x14ac:dyDescent="0.25">
      <c r="A33" s="16"/>
      <c r="B33" s="16"/>
      <c r="C33" s="16"/>
      <c r="D33" s="24"/>
      <c r="E33" s="25"/>
      <c r="F33" s="18"/>
      <c r="G33" s="19">
        <f>IF(OR(D33="",F33=""),"",D33*F33)</f>
      </c>
    </row>
    <row r="34" spans="1:7" x14ac:dyDescent="0.25">
      <c r="A34" s="16"/>
      <c r="B34" s="16"/>
      <c r="C34" s="16"/>
      <c r="D34" s="24"/>
      <c r="E34" s="25"/>
      <c r="F34" s="18"/>
      <c r="G34" s="19">
        <f>IF(OR(D34="",F34=""),"",D34*F34)</f>
      </c>
    </row>
    <row r="35" spans="1:7" x14ac:dyDescent="0.25">
      <c r="A35" s="16"/>
      <c r="B35" s="16"/>
      <c r="C35" s="16"/>
      <c r="D35" s="24"/>
      <c r="E35" s="25"/>
      <c r="F35" s="18"/>
      <c r="G35" s="19">
        <f>IF(OR(D35="",F35=""),"",D35*F35)</f>
      </c>
    </row>
    <row r="36" spans="1:7" x14ac:dyDescent="0.25">
      <c r="A36" s="16"/>
      <c r="B36" s="16"/>
      <c r="C36" s="16"/>
      <c r="D36" s="24"/>
      <c r="E36" s="25"/>
      <c r="F36" s="18"/>
      <c r="G36" s="19">
        <f>IF(OR(D36="",F36=""),"",D36*F36)</f>
      </c>
    </row>
    <row r="37" ht="22" customHeight="1" spans="1:7" x14ac:dyDescent="0.25">
      <c r="A37" s="20" t="s">
        <v>29</v>
      </c>
      <c r="B37" s="20" t="s">
        <v>36</v>
      </c>
      <c r="C37" s="20"/>
      <c r="D37" s="20"/>
      <c r="E37" s="20"/>
      <c r="F37" s="20"/>
      <c r="G37" s="22">
        <f>SUM(G32:G36)</f>
      </c>
    </row>
    <row r="39" ht="22" customHeight="1" spans="1:7" x14ac:dyDescent="0.25">
      <c r="A39" s="14" t="s">
        <v>37</v>
      </c>
      <c r="B39" s="14"/>
      <c r="C39" s="14"/>
      <c r="D39" s="15" t="s">
        <v>38</v>
      </c>
      <c r="E39" s="23" t="s">
        <v>33</v>
      </c>
      <c r="F39" s="15" t="s">
        <v>25</v>
      </c>
      <c r="G39" s="15" t="s">
        <v>35</v>
      </c>
    </row>
    <row r="40" spans="1:7" x14ac:dyDescent="0.25">
      <c r="A40" s="16"/>
      <c r="B40" s="16"/>
      <c r="C40" s="16"/>
      <c r="D40" s="24"/>
      <c r="E40" s="25"/>
      <c r="F40" s="18"/>
      <c r="G40" s="19">
        <f>IF(OR(D40="",F40=""),"",D40*F40)</f>
      </c>
    </row>
    <row r="41" spans="1:7" x14ac:dyDescent="0.25">
      <c r="A41" s="16"/>
      <c r="B41" s="16"/>
      <c r="C41" s="16"/>
      <c r="D41" s="24"/>
      <c r="E41" s="25"/>
      <c r="F41" s="18"/>
      <c r="G41" s="19">
        <f>IF(OR(D41="",F41=""),"",D41*F41)</f>
      </c>
    </row>
    <row r="42" spans="1:7" x14ac:dyDescent="0.25">
      <c r="A42" s="16"/>
      <c r="B42" s="16"/>
      <c r="C42" s="16"/>
      <c r="D42" s="24"/>
      <c r="E42" s="25"/>
      <c r="F42" s="18"/>
      <c r="G42" s="19">
        <f>IF(OR(D42="",F42=""),"",D42*F42)</f>
      </c>
    </row>
    <row r="43" ht="22" customHeight="1" spans="1:7" x14ac:dyDescent="0.25">
      <c r="A43" s="20" t="s">
        <v>29</v>
      </c>
      <c r="B43" s="20" t="s">
        <v>39</v>
      </c>
      <c r="C43" s="20"/>
      <c r="D43" s="20"/>
      <c r="E43" s="20"/>
      <c r="F43" s="20"/>
      <c r="G43" s="22">
        <f>SUM(G40:G42)</f>
      </c>
    </row>
    <row r="45" spans="5:7" x14ac:dyDescent="0.25">
      <c r="E45" s="26" t="s">
        <v>40</v>
      </c>
      <c r="G45" s="27">
        <f>E29+G29+G37+G43</f>
      </c>
    </row>
    <row r="46" spans="5:7" x14ac:dyDescent="0.25">
      <c r="E46" s="12" t="s">
        <v>41</v>
      </c>
      <c r="F46" s="28">
        <v>0.15</v>
      </c>
      <c r="G46" s="27">
        <f>G45*F46</f>
      </c>
    </row>
    <row r="47" ht="22" customHeight="1" spans="1:7" x14ac:dyDescent="0.25">
      <c r="A47" s="20" t="s">
        <v>29</v>
      </c>
      <c r="B47" s="20" t="s">
        <v>42</v>
      </c>
      <c r="C47" s="20"/>
      <c r="D47" s="20"/>
      <c r="E47" s="20"/>
      <c r="F47" s="20"/>
      <c r="G47" s="22">
        <f>G45+G46</f>
      </c>
    </row>
    <row r="49" spans="1:1" x14ac:dyDescent="0.25">
      <c r="A49" s="7" t="s">
        <v>43</v>
      </c>
    </row>
    <row r="50" ht="18" customHeight="1" spans="1:7" x14ac:dyDescent="0.25">
      <c r="A50" s="11"/>
      <c r="B50" s="11"/>
      <c r="C50" s="11"/>
      <c r="D50" s="11"/>
      <c r="E50" s="11"/>
      <c r="F50" s="11"/>
      <c r="G50" s="11"/>
    </row>
    <row r="51" ht="18" customHeight="1" spans="1:7" x14ac:dyDescent="0.25">
      <c r="A51" s="11"/>
      <c r="B51" s="11"/>
      <c r="C51" s="11"/>
      <c r="D51" s="11"/>
      <c r="E51" s="11"/>
      <c r="F51" s="11"/>
      <c r="G51" s="11"/>
    </row>
    <row r="53" ht="34" customHeight="1" spans="1:7" x14ac:dyDescent="0.25">
      <c r="A53" s="29" t="s">
        <v>44</v>
      </c>
      <c r="B53" s="29"/>
      <c r="C53" s="29"/>
      <c r="D53" s="29"/>
      <c r="E53" s="29"/>
      <c r="F53" s="29"/>
      <c r="G53" s="29"/>
    </row>
    <row r="55" spans="1:5" x14ac:dyDescent="0.25">
      <c r="A55" s="30" t="s">
        <v>45</v>
      </c>
      <c r="E55" s="30" t="s">
        <v>46</v>
      </c>
    </row>
    <row r="57" ht="22" customHeight="1" spans="1:6" x14ac:dyDescent="0.25">
      <c r="A57" s="31"/>
      <c r="B57" s="31"/>
      <c r="E57" s="31"/>
      <c r="F57" s="31"/>
    </row>
    <row r="58" spans="1:5" x14ac:dyDescent="0.25">
      <c r="A58" s="32" t="s">
        <v>47</v>
      </c>
      <c r="E58" s="32" t="s">
        <v>47</v>
      </c>
    </row>
    <row r="59" ht="22" customHeight="1" spans="1:6" x14ac:dyDescent="0.25">
      <c r="A59" s="31"/>
      <c r="B59" s="31"/>
      <c r="E59" s="31"/>
      <c r="F59" s="31"/>
    </row>
    <row r="60" spans="1:5" x14ac:dyDescent="0.25">
      <c r="A60" s="32" t="s">
        <v>48</v>
      </c>
      <c r="E60" s="32" t="s">
        <v>48</v>
      </c>
    </row>
    <row r="61" ht="22" customHeight="1" spans="1:6" x14ac:dyDescent="0.25">
      <c r="A61" s="31"/>
      <c r="B61" s="31"/>
      <c r="E61" s="31"/>
      <c r="F61" s="31"/>
    </row>
    <row r="62" spans="1:5" x14ac:dyDescent="0.25">
      <c r="A62" s="32" t="s">
        <v>49</v>
      </c>
      <c r="E62" s="32" t="s">
        <v>49</v>
      </c>
    </row>
    <row r="64" ht="26" customHeight="1" spans="1:7" x14ac:dyDescent="0.25">
      <c r="A64" s="33" t="s">
        <v>50</v>
      </c>
      <c r="B64" s="33"/>
      <c r="C64" s="33"/>
      <c r="D64" s="33"/>
      <c r="E64" s="33"/>
      <c r="F64" s="33"/>
      <c r="G64" s="33"/>
    </row>
  </sheetData>
  <mergeCells count="34">
    <mergeCell ref="F1:G1"/>
    <mergeCell ref="D7:E7"/>
    <mergeCell ref="F7:G7"/>
    <mergeCell ref="D8:E8"/>
    <mergeCell ref="F8:G8"/>
    <mergeCell ref="D9:E9"/>
    <mergeCell ref="F9:G9"/>
    <mergeCell ref="D12:E12"/>
    <mergeCell ref="F12:G12"/>
    <mergeCell ref="D13:E13"/>
    <mergeCell ref="F13:G13"/>
    <mergeCell ref="D14:E14"/>
    <mergeCell ref="F14:G14"/>
    <mergeCell ref="A17:G19"/>
    <mergeCell ref="E21:F21"/>
    <mergeCell ref="A31:C31"/>
    <mergeCell ref="A32:C32"/>
    <mergeCell ref="A33:C33"/>
    <mergeCell ref="A34:C34"/>
    <mergeCell ref="A35:C35"/>
    <mergeCell ref="A36:C36"/>
    <mergeCell ref="A39:C39"/>
    <mergeCell ref="A40:C40"/>
    <mergeCell ref="A41:C41"/>
    <mergeCell ref="A42:C42"/>
    <mergeCell ref="A50:G51"/>
    <mergeCell ref="A53:G53"/>
    <mergeCell ref="A57:B57"/>
    <mergeCell ref="E57:F57"/>
    <mergeCell ref="A59:B59"/>
    <mergeCell ref="E59:F59"/>
    <mergeCell ref="A61:B61"/>
    <mergeCell ref="E61:F61"/>
    <mergeCell ref="A64:G64"/>
  </mergeCells>
  <dataValidations count="1">
    <dataValidation type="list" allowBlank="1" showErrorMessage="1" errorTitle="Pick from the list" error="Choose one of: Written directive, Verbal — confirmed by email, Verbal — not confirmed" sqref="B14">
      <formula1>"Written directive,Verbal — confirmed by email,Verbal — not confirmed"</formula1>
    </dataValidation>
  </dataValidations>
  <hyperlinks>
    <hyperlink ref="A64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buildworkpro.com/templates&amp;C&amp;8&amp;K8B93A1T&amp;M Ticket&amp;R&amp;8&amp;K8B93A1Page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0" customWidth="1"/>
    <col min="5" max="6" width="11" customWidth="1"/>
    <col min="7" max="8" width="14" customWidth="1"/>
    <col min="9" max="9" width="16" customWidth="1"/>
  </cols>
  <sheetData>
    <row r="1" ht="30" customHeight="1" spans="1:1" x14ac:dyDescent="0.25">
      <c r="A1" s="1" t="s">
        <v>51</v>
      </c>
    </row>
    <row r="2" spans="1:1" x14ac:dyDescent="0.25">
      <c r="A2" s="3" t="s">
        <v>52</v>
      </c>
    </row>
    <row r="3" ht="6" customHeight="1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2" x14ac:dyDescent="0.25">
      <c r="A4" s="5"/>
      <c r="B4" s="6" t="s">
        <v>3</v>
      </c>
    </row>
    <row r="5" spans="4:9" x14ac:dyDescent="0.25">
      <c r="D5" s="12" t="s">
        <v>53</v>
      </c>
      <c r="E5" s="34">
        <f>COUNTIF(I7:I36,"Awaiting CO")</f>
      </c>
      <c r="F5" s="12" t="s">
        <v>54</v>
      </c>
      <c r="G5" s="35">
        <f>SUMIFS(G7:G36,I7:I36,"Awaiting CO")</f>
      </c>
      <c r="H5" s="12" t="s">
        <v>55</v>
      </c>
      <c r="I5" s="35">
        <f>SUMIFS(G7:G36,I7:I36,"In CO — approved")+SUMIFS(G7:G36,I7:I36,"Billed")</f>
      </c>
    </row>
    <row r="6" ht="22" customHeight="1" spans="1:9" x14ac:dyDescent="0.25">
      <c r="A6" s="23" t="s">
        <v>56</v>
      </c>
      <c r="B6" s="23" t="s">
        <v>57</v>
      </c>
      <c r="C6" s="14" t="s">
        <v>58</v>
      </c>
      <c r="D6" s="14" t="s">
        <v>59</v>
      </c>
      <c r="E6" s="15" t="s">
        <v>60</v>
      </c>
      <c r="F6" s="23" t="s">
        <v>61</v>
      </c>
      <c r="G6" s="15" t="s">
        <v>42</v>
      </c>
      <c r="H6" s="23" t="s">
        <v>62</v>
      </c>
      <c r="I6" s="23" t="s">
        <v>63</v>
      </c>
    </row>
    <row r="7" spans="1:9" x14ac:dyDescent="0.25">
      <c r="A7" s="25"/>
      <c r="B7" s="36"/>
      <c r="C7" s="37"/>
      <c r="D7" s="16"/>
      <c r="E7" s="17"/>
      <c r="F7" s="25"/>
      <c r="G7" s="18"/>
      <c r="H7" s="25"/>
      <c r="I7" s="25"/>
    </row>
    <row r="8" spans="1:9" x14ac:dyDescent="0.25">
      <c r="A8" s="25"/>
      <c r="B8" s="36"/>
      <c r="C8" s="37"/>
      <c r="D8" s="16"/>
      <c r="E8" s="17"/>
      <c r="F8" s="25"/>
      <c r="G8" s="18"/>
      <c r="H8" s="25"/>
      <c r="I8" s="25"/>
    </row>
    <row r="9" spans="1:9" x14ac:dyDescent="0.25">
      <c r="A9" s="25"/>
      <c r="B9" s="36"/>
      <c r="C9" s="37"/>
      <c r="D9" s="16"/>
      <c r="E9" s="17"/>
      <c r="F9" s="25"/>
      <c r="G9" s="18"/>
      <c r="H9" s="25"/>
      <c r="I9" s="25"/>
    </row>
    <row r="10" spans="1:9" x14ac:dyDescent="0.25">
      <c r="A10" s="25"/>
      <c r="B10" s="36"/>
      <c r="C10" s="37"/>
      <c r="D10" s="16"/>
      <c r="E10" s="17"/>
      <c r="F10" s="25"/>
      <c r="G10" s="18"/>
      <c r="H10" s="25"/>
      <c r="I10" s="25"/>
    </row>
    <row r="11" spans="1:9" x14ac:dyDescent="0.25">
      <c r="A11" s="25"/>
      <c r="B11" s="36"/>
      <c r="C11" s="37"/>
      <c r="D11" s="16"/>
      <c r="E11" s="17"/>
      <c r="F11" s="25"/>
      <c r="G11" s="18"/>
      <c r="H11" s="25"/>
      <c r="I11" s="25"/>
    </row>
    <row r="12" spans="1:9" x14ac:dyDescent="0.25">
      <c r="A12" s="25"/>
      <c r="B12" s="36"/>
      <c r="C12" s="37"/>
      <c r="D12" s="16"/>
      <c r="E12" s="17"/>
      <c r="F12" s="25"/>
      <c r="G12" s="18"/>
      <c r="H12" s="25"/>
      <c r="I12" s="25"/>
    </row>
    <row r="13" spans="1:9" x14ac:dyDescent="0.25">
      <c r="A13" s="25"/>
      <c r="B13" s="36"/>
      <c r="C13" s="37"/>
      <c r="D13" s="16"/>
      <c r="E13" s="17"/>
      <c r="F13" s="25"/>
      <c r="G13" s="18"/>
      <c r="H13" s="25"/>
      <c r="I13" s="25"/>
    </row>
    <row r="14" spans="1:9" x14ac:dyDescent="0.25">
      <c r="A14" s="25"/>
      <c r="B14" s="36"/>
      <c r="C14" s="37"/>
      <c r="D14" s="16"/>
      <c r="E14" s="17"/>
      <c r="F14" s="25"/>
      <c r="G14" s="18"/>
      <c r="H14" s="25"/>
      <c r="I14" s="25"/>
    </row>
    <row r="15" spans="1:9" x14ac:dyDescent="0.25">
      <c r="A15" s="25"/>
      <c r="B15" s="36"/>
      <c r="C15" s="37"/>
      <c r="D15" s="16"/>
      <c r="E15" s="17"/>
      <c r="F15" s="25"/>
      <c r="G15" s="18"/>
      <c r="H15" s="25"/>
      <c r="I15" s="25"/>
    </row>
    <row r="16" spans="1:9" x14ac:dyDescent="0.25">
      <c r="A16" s="25"/>
      <c r="B16" s="36"/>
      <c r="C16" s="37"/>
      <c r="D16" s="16"/>
      <c r="E16" s="17"/>
      <c r="F16" s="25"/>
      <c r="G16" s="18"/>
      <c r="H16" s="25"/>
      <c r="I16" s="25"/>
    </row>
    <row r="17" spans="1:9" x14ac:dyDescent="0.25">
      <c r="A17" s="25"/>
      <c r="B17" s="36"/>
      <c r="C17" s="37"/>
      <c r="D17" s="16"/>
      <c r="E17" s="17"/>
      <c r="F17" s="25"/>
      <c r="G17" s="18"/>
      <c r="H17" s="25"/>
      <c r="I17" s="25"/>
    </row>
    <row r="18" spans="1:9" x14ac:dyDescent="0.25">
      <c r="A18" s="25"/>
      <c r="B18" s="36"/>
      <c r="C18" s="37"/>
      <c r="D18" s="16"/>
      <c r="E18" s="17"/>
      <c r="F18" s="25"/>
      <c r="G18" s="18"/>
      <c r="H18" s="25"/>
      <c r="I18" s="25"/>
    </row>
    <row r="19" spans="1:9" x14ac:dyDescent="0.25">
      <c r="A19" s="25"/>
      <c r="B19" s="36"/>
      <c r="C19" s="37"/>
      <c r="D19" s="16"/>
      <c r="E19" s="17"/>
      <c r="F19" s="25"/>
      <c r="G19" s="18"/>
      <c r="H19" s="25"/>
      <c r="I19" s="25"/>
    </row>
    <row r="20" spans="1:9" x14ac:dyDescent="0.25">
      <c r="A20" s="25"/>
      <c r="B20" s="36"/>
      <c r="C20" s="37"/>
      <c r="D20" s="16"/>
      <c r="E20" s="17"/>
      <c r="F20" s="25"/>
      <c r="G20" s="18"/>
      <c r="H20" s="25"/>
      <c r="I20" s="25"/>
    </row>
    <row r="21" spans="1:9" x14ac:dyDescent="0.25">
      <c r="A21" s="25"/>
      <c r="B21" s="36"/>
      <c r="C21" s="37"/>
      <c r="D21" s="16"/>
      <c r="E21" s="17"/>
      <c r="F21" s="25"/>
      <c r="G21" s="18"/>
      <c r="H21" s="25"/>
      <c r="I21" s="25"/>
    </row>
    <row r="22" spans="1:9" x14ac:dyDescent="0.25">
      <c r="A22" s="25"/>
      <c r="B22" s="36"/>
      <c r="C22" s="37"/>
      <c r="D22" s="16"/>
      <c r="E22" s="17"/>
      <c r="F22" s="25"/>
      <c r="G22" s="18"/>
      <c r="H22" s="25"/>
      <c r="I22" s="25"/>
    </row>
    <row r="23" spans="1:9" x14ac:dyDescent="0.25">
      <c r="A23" s="25"/>
      <c r="B23" s="36"/>
      <c r="C23" s="37"/>
      <c r="D23" s="16"/>
      <c r="E23" s="17"/>
      <c r="F23" s="25"/>
      <c r="G23" s="18"/>
      <c r="H23" s="25"/>
      <c r="I23" s="25"/>
    </row>
    <row r="24" spans="1:9" x14ac:dyDescent="0.25">
      <c r="A24" s="25"/>
      <c r="B24" s="36"/>
      <c r="C24" s="37"/>
      <c r="D24" s="16"/>
      <c r="E24" s="17"/>
      <c r="F24" s="25"/>
      <c r="G24" s="18"/>
      <c r="H24" s="25"/>
      <c r="I24" s="25"/>
    </row>
    <row r="25" spans="1:9" x14ac:dyDescent="0.25">
      <c r="A25" s="25"/>
      <c r="B25" s="36"/>
      <c r="C25" s="37"/>
      <c r="D25" s="16"/>
      <c r="E25" s="17"/>
      <c r="F25" s="25"/>
      <c r="G25" s="18"/>
      <c r="H25" s="25"/>
      <c r="I25" s="25"/>
    </row>
    <row r="26" spans="1:9" x14ac:dyDescent="0.25">
      <c r="A26" s="25"/>
      <c r="B26" s="36"/>
      <c r="C26" s="37"/>
      <c r="D26" s="16"/>
      <c r="E26" s="17"/>
      <c r="F26" s="25"/>
      <c r="G26" s="18"/>
      <c r="H26" s="25"/>
      <c r="I26" s="25"/>
    </row>
    <row r="27" spans="1:9" x14ac:dyDescent="0.25">
      <c r="A27" s="25"/>
      <c r="B27" s="36"/>
      <c r="C27" s="37"/>
      <c r="D27" s="16"/>
      <c r="E27" s="17"/>
      <c r="F27" s="25"/>
      <c r="G27" s="18"/>
      <c r="H27" s="25"/>
      <c r="I27" s="25"/>
    </row>
    <row r="28" spans="1:9" x14ac:dyDescent="0.25">
      <c r="A28" s="25"/>
      <c r="B28" s="36"/>
      <c r="C28" s="37"/>
      <c r="D28" s="16"/>
      <c r="E28" s="17"/>
      <c r="F28" s="25"/>
      <c r="G28" s="18"/>
      <c r="H28" s="25"/>
      <c r="I28" s="25"/>
    </row>
    <row r="29" spans="1:9" x14ac:dyDescent="0.25">
      <c r="A29" s="25"/>
      <c r="B29" s="36"/>
      <c r="C29" s="37"/>
      <c r="D29" s="16"/>
      <c r="E29" s="17"/>
      <c r="F29" s="25"/>
      <c r="G29" s="18"/>
      <c r="H29" s="25"/>
      <c r="I29" s="25"/>
    </row>
    <row r="30" spans="1:9" x14ac:dyDescent="0.25">
      <c r="A30" s="25"/>
      <c r="B30" s="36"/>
      <c r="C30" s="37"/>
      <c r="D30" s="16"/>
      <c r="E30" s="17"/>
      <c r="F30" s="25"/>
      <c r="G30" s="18"/>
      <c r="H30" s="25"/>
      <c r="I30" s="25"/>
    </row>
    <row r="31" spans="1:9" x14ac:dyDescent="0.25">
      <c r="A31" s="25"/>
      <c r="B31" s="36"/>
      <c r="C31" s="37"/>
      <c r="D31" s="16"/>
      <c r="E31" s="17"/>
      <c r="F31" s="25"/>
      <c r="G31" s="18"/>
      <c r="H31" s="25"/>
      <c r="I31" s="25"/>
    </row>
    <row r="32" spans="1:9" x14ac:dyDescent="0.25">
      <c r="A32" s="25"/>
      <c r="B32" s="36"/>
      <c r="C32" s="37"/>
      <c r="D32" s="16"/>
      <c r="E32" s="17"/>
      <c r="F32" s="25"/>
      <c r="G32" s="18"/>
      <c r="H32" s="25"/>
      <c r="I32" s="25"/>
    </row>
    <row r="33" spans="1:9" x14ac:dyDescent="0.25">
      <c r="A33" s="25"/>
      <c r="B33" s="36"/>
      <c r="C33" s="37"/>
      <c r="D33" s="16"/>
      <c r="E33" s="17"/>
      <c r="F33" s="25"/>
      <c r="G33" s="18"/>
      <c r="H33" s="25"/>
      <c r="I33" s="25"/>
    </row>
    <row r="34" spans="1:9" x14ac:dyDescent="0.25">
      <c r="A34" s="25"/>
      <c r="B34" s="36"/>
      <c r="C34" s="37"/>
      <c r="D34" s="16"/>
      <c r="E34" s="17"/>
      <c r="F34" s="25"/>
      <c r="G34" s="18"/>
      <c r="H34" s="25"/>
      <c r="I34" s="25"/>
    </row>
    <row r="35" spans="1:9" x14ac:dyDescent="0.25">
      <c r="A35" s="25"/>
      <c r="B35" s="36"/>
      <c r="C35" s="37"/>
      <c r="D35" s="16"/>
      <c r="E35" s="17"/>
      <c r="F35" s="25"/>
      <c r="G35" s="18"/>
      <c r="H35" s="25"/>
      <c r="I35" s="25"/>
    </row>
    <row r="36" spans="1:9" x14ac:dyDescent="0.25">
      <c r="A36" s="25"/>
      <c r="B36" s="36"/>
      <c r="C36" s="37"/>
      <c r="D36" s="16"/>
      <c r="E36" s="17"/>
      <c r="F36" s="25"/>
      <c r="G36" s="18"/>
      <c r="H36" s="25"/>
      <c r="I36" s="25"/>
    </row>
    <row r="37" ht="22" customHeight="1" spans="1:9" x14ac:dyDescent="0.25">
      <c r="A37" s="20" t="s">
        <v>29</v>
      </c>
      <c r="B37" s="20" t="s">
        <v>64</v>
      </c>
      <c r="C37" s="20">
        <f>COUNTA(A7:A36)&amp;" tickets"</f>
      </c>
      <c r="D37" s="20"/>
      <c r="E37" s="21">
        <f>SUM(E7:E36)</f>
      </c>
      <c r="F37" s="20"/>
      <c r="G37" s="22">
        <f>SUM(G7:G36)</f>
      </c>
      <c r="H37" s="20"/>
      <c r="I37" s="20"/>
    </row>
    <row r="39" ht="26" customHeight="1" spans="1:9" x14ac:dyDescent="0.25">
      <c r="A39" s="33" t="s">
        <v>65</v>
      </c>
      <c r="B39" s="33"/>
      <c r="C39" s="33"/>
      <c r="D39" s="33"/>
      <c r="E39" s="33"/>
      <c r="F39" s="33"/>
      <c r="G39" s="33"/>
      <c r="H39" s="33"/>
      <c r="I39" s="33"/>
    </row>
  </sheetData>
  <mergeCells count="1">
    <mergeCell ref="A39:I39"/>
  </mergeCells>
  <conditionalFormatting sqref="I7:I36">
    <cfRule type="containsText" dxfId="0" priority="1">
      <formula>NOT(ISERROR(SEARCH("approved",I7)))</formula>
    </cfRule>
    <cfRule type="containsText" dxfId="1" priority="2">
      <formula>NOT(ISERROR(SEARCH("Billed",I7)))</formula>
    </cfRule>
    <cfRule type="containsText" dxfId="2" priority="3">
      <formula>NOT(ISERROR(SEARCH("Awaiting",I7)))</formula>
    </cfRule>
    <cfRule type="containsText" dxfId="3" priority="4">
      <formula>NOT(ISERROR(SEARCH("Disputed",I7)))</formula>
    </cfRule>
  </conditionalFormatting>
  <conditionalFormatting sqref="F7:F36">
    <cfRule type="containsText" dxfId="4" priority="1">
      <formula>NOT(ISERROR(SEARCH("No — refused",F7)))</formula>
    </cfRule>
    <cfRule type="containsText" dxfId="5" priority="2">
      <formula>NOT(ISERROR(SEARCH("No — not yet",F7)))</formula>
    </cfRule>
  </conditionalFormatting>
  <dataValidations count="2">
    <dataValidation type="list" allowBlank="1" showErrorMessage="1" errorTitle="Pick from the list" error="Choose one of: Yes, No — refused, No — not yet" sqref="F7:F36">
      <formula1>"Yes,No — refused,No — not yet"</formula1>
    </dataValidation>
    <dataValidation type="list" allowBlank="1" showErrorMessage="1" errorTitle="Pick from the list" error="Choose one of: Awaiting CO, In CO — pending, In CO — approved, Billed, Disputed, Void" sqref="I7:I36">
      <formula1>"Awaiting CO,In CO — pending,In CO — approved,Billed,Disputed,Void"</formula1>
    </dataValidation>
  </dataValidations>
  <hyperlinks>
    <hyperlink ref="A39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0"/>
  <headerFooter>
    <oddFooter>&amp;L&amp;8&amp;K8B93A1Free template by BuildWorkPro · buildworkpro.com/templates&amp;C&amp;8&amp;K8B93A1T&amp;M Log&amp;R&amp;8&amp;K8B93A1Page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1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66</v>
      </c>
    </row>
    <row r="2" ht="6" customHeight="1" spans="1:2" x14ac:dyDescent="0.25">
      <c r="A2" s="4"/>
      <c r="B2" s="4"/>
    </row>
    <row r="4" ht="30" customHeight="1" spans="1:2" x14ac:dyDescent="0.25">
      <c r="A4" s="38" t="s">
        <v>67</v>
      </c>
      <c r="B4" s="39" t="s">
        <v>68</v>
      </c>
    </row>
    <row r="5" ht="45" customHeight="1" spans="1:2" x14ac:dyDescent="0.25">
      <c r="A5" s="38" t="s">
        <v>69</v>
      </c>
      <c r="B5" s="39" t="s">
        <v>70</v>
      </c>
    </row>
    <row r="6" ht="45" customHeight="1" spans="1:2" x14ac:dyDescent="0.25">
      <c r="A6" s="38" t="s">
        <v>71</v>
      </c>
      <c r="B6" s="39" t="s">
        <v>72</v>
      </c>
    </row>
    <row r="7" ht="30" customHeight="1" spans="1:2" x14ac:dyDescent="0.25">
      <c r="A7" s="38" t="s">
        <v>73</v>
      </c>
      <c r="B7" s="39" t="s">
        <v>74</v>
      </c>
    </row>
    <row r="8" ht="30" customHeight="1" spans="1:2" x14ac:dyDescent="0.25">
      <c r="A8" s="38" t="s">
        <v>75</v>
      </c>
      <c r="B8" s="39" t="s">
        <v>76</v>
      </c>
    </row>
    <row r="9" ht="30" customHeight="1" spans="1:2" x14ac:dyDescent="0.25">
      <c r="A9" s="38" t="s">
        <v>77</v>
      </c>
      <c r="B9" s="39" t="s">
        <v>78</v>
      </c>
    </row>
    <row r="11" spans="2:2" x14ac:dyDescent="0.25">
      <c r="B11" s="7" t="s">
        <v>79</v>
      </c>
    </row>
    <row r="12" ht="30" customHeight="1" spans="1:2" x14ac:dyDescent="0.25">
      <c r="A12" s="40" t="s">
        <v>80</v>
      </c>
      <c r="B12" s="41" t="s">
        <v>81</v>
      </c>
    </row>
    <row r="13" ht="30" customHeight="1" spans="1:2" x14ac:dyDescent="0.25">
      <c r="A13" s="40" t="s">
        <v>80</v>
      </c>
      <c r="B13" s="41" t="s">
        <v>82</v>
      </c>
    </row>
    <row r="14" ht="30" customHeight="1" spans="1:2" x14ac:dyDescent="0.25">
      <c r="A14" s="40" t="s">
        <v>80</v>
      </c>
      <c r="B14" s="41" t="s">
        <v>83</v>
      </c>
    </row>
    <row r="16" ht="44" customHeight="1" spans="1:2" x14ac:dyDescent="0.25">
      <c r="A16" s="29" t="s">
        <v>84</v>
      </c>
      <c r="B16" s="29"/>
    </row>
    <row r="17" spans="2:2" x14ac:dyDescent="0.25">
      <c r="B17" s="42" t="s">
        <v>85</v>
      </c>
    </row>
    <row r="19" ht="78" customHeight="1" spans="1:2" x14ac:dyDescent="0.25">
      <c r="A19" s="33" t="s">
        <v>86</v>
      </c>
      <c r="B19" s="33"/>
    </row>
  </sheetData>
  <mergeCells count="2">
    <mergeCell ref="A16:B16"/>
    <mergeCell ref="A19:B19"/>
  </mergeCells>
  <hyperlinks>
    <hyperlink ref="B17" r:id="rId1"/>
    <hyperlink ref="A19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T&amp;M Ticket</vt:lpstr>
      <vt:lpstr>T&amp;M Log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T&amp;M Ticket Template</dc:title>
  <dc:subject>T&amp;M Ticket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