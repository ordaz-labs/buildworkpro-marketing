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  <sheet sheetId="2" name="Markup vs Margin" state="visible" r:id="rId5"/>
    <sheet sheetId="3" name="How to Use" state="visible" r:id="rId6"/>
  </sheets>
  <definedNames>
    <definedName name="_xlnm.Print_Area" localSheetId="0">'Estimate'!$A1:$G71</definedName>
  </definedNames>
  <calcPr calcId="171027" fullCalcOnLoad="1"/>
</workbook>
</file>

<file path=xl/sharedStrings.xml><?xml version="1.0" encoding="utf-8"?>
<sst xmlns="http://schemas.openxmlformats.org/spreadsheetml/2006/main" count="119" uniqueCount="96">
  <si>
    <t>Construction Estimate</t>
  </si>
  <si>
    <t>Print: fits one page</t>
  </si>
  <si>
    <t>Materials, labor, equipment and subcontractors by section — then tax, contingency, overhead and profit as a true margin.</t>
  </si>
  <si>
    <t>Amber cells are yours to fill in. Everything else calculates.</t>
  </si>
  <si>
    <t>YOUR COMPANY</t>
  </si>
  <si>
    <t>ESTIMATE</t>
  </si>
  <si>
    <t>Company</t>
  </si>
  <si>
    <t>Estimate no.</t>
  </si>
  <si>
    <t>Address</t>
  </si>
  <si>
    <t>Date</t>
  </si>
  <si>
    <t>Phone / email</t>
  </si>
  <si>
    <t>Pricing valid through</t>
  </si>
  <si>
    <t>PROJECT</t>
  </si>
  <si>
    <t>PREPARED FOR (GC / OWNER)</t>
  </si>
  <si>
    <t>Project name</t>
  </si>
  <si>
    <t>Project number</t>
  </si>
  <si>
    <t>Contact</t>
  </si>
  <si>
    <t>Site address</t>
  </si>
  <si>
    <t>Prepared by</t>
  </si>
  <si>
    <t>Bid documents &amp; addenda</t>
  </si>
  <si>
    <t>Reviewed by</t>
  </si>
  <si>
    <t>#</t>
  </si>
  <si>
    <t>DESCRIPTION</t>
  </si>
  <si>
    <t>QTY</t>
  </si>
  <si>
    <t>UNIT</t>
  </si>
  <si>
    <t>UNIT COST</t>
  </si>
  <si>
    <t>AMOUNT</t>
  </si>
  <si>
    <t>NOTES / QUOTE REF</t>
  </si>
  <si>
    <t>MATERIALS — DELIVERED COST BEFORE SALES TAX</t>
  </si>
  <si>
    <t/>
  </si>
  <si>
    <t>Materials subtotal</t>
  </si>
  <si>
    <t>LABOR — QTY IS HOURS, UNIT COST IS THE FULLY LOADED HOURLY RATE</t>
  </si>
  <si>
    <t>Labor subtotal</t>
  </si>
  <si>
    <t>EQUIPMENT — RENTALS, CRANE, TOOLS</t>
  </si>
  <si>
    <t>Equipment subtotal</t>
  </si>
  <si>
    <t>SUBCONTRACTORS — ATTACH WRITTEN QUOTES</t>
  </si>
  <si>
    <t>Subcontractors subtotal</t>
  </si>
  <si>
    <t>Direct cost subtotal</t>
  </si>
  <si>
    <t>Sales tax on materials — enter your rate →</t>
  </si>
  <si>
    <t>Contingency — % of direct cost →</t>
  </si>
  <si>
    <t>Total estimated cost</t>
  </si>
  <si>
    <t>Overhead — % of cost (office, trucks, insurance, estimating) →</t>
  </si>
  <si>
    <t>Cost + overhead</t>
  </si>
  <si>
    <t>Profit — margin as % of PRICE (not markup on cost) →</t>
  </si>
  <si>
    <t>ESTIMATE TOTAL</t>
  </si>
  <si>
    <t>Equivalent markup on cost + overhead (what the same profit looks like as a markup)</t>
  </si>
  <si>
    <t>Gross margin check — profit ÷ price (should equal the margin you entered)</t>
  </si>
  <si>
    <t>BASIS OF ESTIMATE, ASSUMPTIONS &amp; EXCLUSIONS — CARRY THESE ONTO THE PROPOSAL</t>
  </si>
  <si>
    <t>Margin is a share of the price; markup is a share of cost. A 15% markup is only a 13% margin. This sheet prices by margin: price = (cost + overhead) ÷ (1 − margin). See the Markup vs Margin sheet for the conversion table.</t>
  </si>
  <si>
    <t>Free template by BuildWorkPro — buildworkpro.com/templates. Internal pricing worksheet; the customer-facing number goes on your quote or proposal. Not accounting or tax advice.</t>
  </si>
  <si>
    <t>Markup vs. Margin</t>
  </si>
  <si>
    <t>The pricing mistake that quietly eats profit — and the conversion table to fix it.</t>
  </si>
  <si>
    <t>Markup is a percentage added to COST. Margin is a percentage of the PRICE. They describe the same dollars from opposite ends, and they are never the same number.</t>
  </si>
  <si>
    <t>On $10,000 of cost, a 15% markup gives a $11,500 price — but $1,500 ÷ $11,500 is only a 13.0% margin. To keep 15% of the price you must mark cost up 17.6%. Contractors who price by markup routinely keep less than they think.</t>
  </si>
  <si>
    <t>The Estimate sheet prices by margin: price = (cost + overhead) ÷ (1 − margin). Overhead is real cost (trucks, insurance, the office, estimating time) — price it before profit, never out of profit.</t>
  </si>
  <si>
    <t>TRY IT — CHANGE THE AMBER CELLS</t>
  </si>
  <si>
    <t>Job cost including overhead</t>
  </si>
  <si>
    <t>IF YOU…</t>
  </si>
  <si>
    <t>RATE</t>
  </si>
  <si>
    <t>PRICE</t>
  </si>
  <si>
    <t>WHAT YOU ACTUALLY GET</t>
  </si>
  <si>
    <t>Add a MARKUP to cost of</t>
  </si>
  <si>
    <t>← margin you keep</t>
  </si>
  <si>
    <t>Want a MARGIN on price of</t>
  </si>
  <si>
    <t>← markup you must apply</t>
  </si>
  <si>
    <t>Profit left on the table by using the markup rate instead</t>
  </si>
  <si>
    <t>CONVERSION TABLE</t>
  </si>
  <si>
    <t>MARKUP ON COST</t>
  </si>
  <si>
    <t>MARGIN ON PRICE</t>
  </si>
  <si>
    <t>MARKUP NEEDED</t>
  </si>
  <si>
    <t>Formulas: margin = markup ÷ (1 + markup). Markup = margin ÷ (1 − margin).</t>
  </si>
  <si>
    <t>Full explanation with worked examples: buildworkpro.com/blog/construction-markup-vs-margin/</t>
  </si>
  <si>
    <t>Estimating software that applies margin and overhead as rates on every bid: buildworkpro.com/features/construction-bidding/</t>
  </si>
  <si>
    <t>Free template by BuildWorkPro — buildworkpro.com/templates. Free to use and share for your own business.</t>
  </si>
  <si>
    <t>How to use the Construction Estimate Template</t>
  </si>
  <si>
    <t>1.</t>
  </si>
  <si>
    <t>Fill in your company, the project, who the estimate is for and the bid documents you priced from (drawing set date and addenda). Amber cells are inputs.</t>
  </si>
  <si>
    <t>2.</t>
  </si>
  <si>
    <t>List materials with quantity, unit and delivered unit cost. Put HVAC equipment, fixtures and pipe here — anything you buy. Amounts compute per line.</t>
  </si>
  <si>
    <t>3.</t>
  </si>
  <si>
    <t>List labor by trade or crew: quantity is hours, unit cost is the fully loaded hourly rate (wage + payroll taxes + insurance + benefits), never the bare wage.</t>
  </si>
  <si>
    <t>4.</t>
  </si>
  <si>
    <t>Add equipment (crane days, lift rentals, tool rental) and subcontractor quotes as lump sums. Reference the quote date in the notes column.</t>
  </si>
  <si>
    <t>5.</t>
  </si>
  <si>
    <t>Set your rates in the ladder: sales tax on materials (leave 0% if tax is already in your unit costs), contingency, overhead, and profit as a MARGIN on price. The estimate total computes; the check rows show the equivalent markup and confirm the margin.</t>
  </si>
  <si>
    <t>6.</t>
  </si>
  <si>
    <t>Write the basis of estimate — what the price assumes and excludes — then carry the total and the assumptions onto your proposal or quote.</t>
  </si>
  <si>
    <t>TIPS FROM THE FIELD</t>
  </si>
  <si>
    <t>•</t>
  </si>
  <si>
    <t>Overhead is not profit. Trucks, insurance, the office and your estimating hours are costs; price them before profit or you are paying them out of profit.</t>
  </si>
  <si>
    <t>Price by margin, not markup. A 15% markup is a 13% margin. The Markup vs Margin sheet has the conversion table.</t>
  </si>
  <si>
    <t>Get every subcontractor quote in writing with a scope list, and level them before you pick one — the bid tabulation template does that.</t>
  </si>
  <si>
    <t>Won the job? The estimate becomes the cost budget for job costing, and the sections map onto your schedule of values for billing.</t>
  </si>
  <si>
    <t>In BuildWorkPro every bid is built from line items typed as material, labor or other cost, priced from a reusable catalog, with margin, overhead and commission applied as rates on the Rates tab — then exported as a branded PDF proposal and converted into a project when you win.</t>
  </si>
  <si>
    <t>https://buildworkpro.com/features/construction-bidding/</t>
  </si>
  <si>
    <t>Free template by BuildWorkPro — https://buildworkpro.com/templates/. Free to use and share for your own business. Not legal, accounting or engineering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</si>
</sst>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 d, yyyy"/>
    <numFmt numFmtId="165" formatCode="&quot;$&quot;#,##0.00;[Red]-&quot;$&quot;#,##0.00;&quot;&quot;"/>
    <numFmt numFmtId="166" formatCode="&quot;$&quot;#,##0.00;[Red]-&quot;$&quot;#,##0.00"/>
    <numFmt numFmtId="167" formatCode="0.0%"/>
  </numFmts>
  <fonts count="19" x14ac:knownFonts="1">
    <font>
      <color theme="1"/>
      <family val="2"/>
      <scheme val="minor"/>
      <sz val="11"/>
      <name val="Calibri"/>
    </font>
    <font>
      <b/>
      <color rgb="FF1B1F24"/>
      <sz val="20"/>
      <name val="Calibri"/>
    </font>
    <font>
      <color rgb="FF4A5260"/>
      <sz val="10"/>
      <name val="Calibri"/>
    </font>
    <font>
      <i/>
      <color rgb="FF4A5260"/>
      <sz val="9"/>
      <name val="Calibri"/>
    </font>
    <font>
      <color rgb="FF1B1F24"/>
      <sz val="10"/>
      <name val="Calibri"/>
    </font>
    <font>
      <i/>
      <color rgb="FF4A5260"/>
      <sz val="8.5"/>
      <name val="Calibri"/>
    </font>
    <font>
      <b/>
      <color rgb="FF8B93A1"/>
      <sz val="7.5"/>
      <name val="Calibri"/>
    </font>
    <font>
      <color rgb="FF4A5260"/>
      <sz val="9"/>
      <name val="Calibri"/>
    </font>
    <font>
      <b/>
      <color rgb="FF4A5260"/>
      <sz val="7.5"/>
      <name val="Calibri"/>
    </font>
    <font>
      <b/>
      <color rgb="FF1B1F24"/>
      <sz val="8"/>
      <name val="Calibri"/>
    </font>
    <font>
      <color rgb="FF8B93A1"/>
      <sz val="10"/>
      <name val="Calibri"/>
    </font>
    <font>
      <b/>
      <color rgb="FF1B1F24"/>
      <sz val="9"/>
      <name val="Calibri"/>
    </font>
    <font>
      <b/>
      <color rgb="FF1B1F24"/>
      <sz val="10"/>
      <name val="Calibri"/>
    </font>
    <font>
      <color rgb="FF4A5260"/>
      <sz val="9.5"/>
      <name val="Calibri"/>
    </font>
    <font>
      <b/>
      <sz val="12"/>
      <name val="Calibri"/>
    </font>
    <font>
      <color rgb="FF8B93A1"/>
      <sz val="8"/>
      <name val="Calibri"/>
    </font>
    <font>
      <color rgb="FF1B1F24"/>
      <sz val="9.5"/>
      <name val="Calibri"/>
    </font>
    <font>
      <u/>
      <color rgb="FF2563EB"/>
      <sz val="9"/>
      <name val="Calibri"/>
    </font>
    <font>
      <b/>
      <color rgb="FF4A5260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F3F5F8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8B93A1"/>
      </bottom>
      <diagonal/>
    </border>
    <border>
      <left/>
      <right/>
      <top style="thin">
        <color rgb="FFD7DCE3"/>
      </top>
      <bottom style="thin">
        <color rgb="FF4A5260"/>
      </bottom>
      <diagonal/>
    </border>
    <border>
      <left/>
      <right/>
      <top/>
      <bottom style="thin">
        <color rgb="FF1B1F24"/>
      </bottom>
      <diagonal/>
    </border>
    <border>
      <left/>
      <right/>
      <top/>
      <bottom style="thin">
        <color rgb="FFD7DCE3"/>
      </bottom>
      <diagonal/>
    </border>
    <border>
      <left/>
      <right/>
      <top style="thin">
        <color rgb="FF4A5260"/>
      </top>
      <bottom style="thin">
        <color rgb="FFD7DCE3"/>
      </bottom>
      <diagonal/>
    </border>
    <border>
      <left/>
      <right/>
      <top style="medium">
        <color rgb="FF1B1F24"/>
      </top>
      <bottom style="thin">
        <color rgb="FFD7DCE3"/>
      </bottom>
      <diagonal/>
    </border>
    <border>
      <left style="medium">
        <color rgb="FF2563EB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0" fillId="0" borderId="1" xfId="0" applyBorder="1"/>
    <xf numFmtId="0" fontId="4" fillId="2" borderId="2" xfId="0" applyFont="1" applyFill="1" applyBorder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bottom" wrapText="1"/>
    </xf>
    <xf numFmtId="0" fontId="8" fillId="3" borderId="3" xfId="0" applyFont="1" applyFill="1" applyBorder="1" applyAlignment="1">
      <alignment horizontal="left" vertical="bottom" wrapText="1"/>
    </xf>
    <xf numFmtId="0" fontId="8" fillId="3" borderId="3" xfId="0" applyFont="1" applyFill="1" applyBorder="1" applyAlignment="1">
      <alignment horizontal="right" vertical="bottom" wrapText="1"/>
    </xf>
    <xf numFmtId="0" fontId="9" fillId="0" borderId="4" xfId="0" applyFont="1" applyBorder="1" applyAlignment="1">
      <alignment vertical="bottom"/>
    </xf>
    <xf numFmtId="0" fontId="10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  <xf numFmtId="4" fontId="4" fillId="2" borderId="5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165" fontId="4" fillId="2" borderId="5" xfId="0" applyNumberFormat="1" applyFont="1" applyFill="1" applyBorder="1" applyAlignment="1">
      <alignment horizontal="right" vertical="center"/>
    </xf>
    <xf numFmtId="165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166" fontId="12" fillId="0" borderId="6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left" vertical="center"/>
    </xf>
    <xf numFmtId="166" fontId="12" fillId="0" borderId="7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top"/>
    </xf>
    <xf numFmtId="10" fontId="4" fillId="2" borderId="2" xfId="0" applyNumberFormat="1" applyFont="1" applyFill="1" applyBorder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7" fontId="4" fillId="2" borderId="2" xfId="0" applyNumberFormat="1" applyFont="1" applyFill="1" applyBorder="1" applyAlignment="1">
      <alignment horizontal="right" vertical="center"/>
    </xf>
    <xf numFmtId="166" fontId="14" fillId="0" borderId="7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top"/>
    </xf>
    <xf numFmtId="167" fontId="2" fillId="0" borderId="0" xfId="0" applyNumberFormat="1" applyFont="1" applyAlignment="1">
      <alignment horizontal="right" vertical="center"/>
    </xf>
    <xf numFmtId="0" fontId="4" fillId="2" borderId="2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vertical="center" wrapText="1" inden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166" fontId="4" fillId="2" borderId="2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top"/>
    </xf>
    <xf numFmtId="167" fontId="4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right" vertical="top"/>
    </xf>
    <xf numFmtId="167" fontId="4" fillId="0" borderId="5" xfId="0" applyNumberFormat="1" applyFont="1" applyBorder="1" applyAlignment="1">
      <alignment horizontal="right" vertical="center"/>
    </xf>
    <xf numFmtId="0" fontId="17" fillId="0" borderId="0" xfId="0" applyFont="1"/>
    <xf numFmtId="0" fontId="18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blog/construction-markup-vs-margin/" TargetMode="External"/><Relationship Id="rId2" Type="http://schemas.openxmlformats.org/officeDocument/2006/relationships/hyperlink" Target="https://buildworkpro.com/features/construction-bidding/" TargetMode="External"/><Relationship Id="rId3" Type="http://schemas.openxmlformats.org/officeDocument/2006/relationships/hyperlink" Target="https://buildworkpro.com/templates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features/construction-bidding/" TargetMode="External"/><Relationship Id="rId2" Type="http://schemas.openxmlformats.org/officeDocument/2006/relationships/hyperlink" Target="https://buildworkpro.com/templ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1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46" customWidth="1"/>
    <col min="4" max="4" width="7" customWidth="1"/>
    <col min="5" max="5" width="13" customWidth="1"/>
    <col min="6" max="6" width="15" customWidth="1"/>
    <col min="7" max="7" width="24" customWidth="1"/>
  </cols>
  <sheetData>
    <row r="1" ht="30" customHeight="1" spans="1:7" x14ac:dyDescent="0.25">
      <c r="A1" s="1" t="s">
        <v>0</v>
      </c>
      <c r="E1" s="2" t="s">
        <v>1</v>
      </c>
      <c r="F1" s="2"/>
      <c r="G1" s="2"/>
    </row>
    <row r="2" spans="1:1" x14ac:dyDescent="0.25">
      <c r="A2" s="3" t="s">
        <v>2</v>
      </c>
    </row>
    <row r="3" ht="6" customHeight="1" spans="1:7" x14ac:dyDescent="0.25">
      <c r="A3" s="4"/>
      <c r="B3" s="4"/>
      <c r="C3" s="4"/>
      <c r="D3" s="4"/>
      <c r="E3" s="4"/>
      <c r="F3" s="4"/>
      <c r="G3" s="4"/>
    </row>
    <row r="4" spans="1:2" x14ac:dyDescent="0.25">
      <c r="A4" s="5"/>
      <c r="B4" s="6" t="s">
        <v>3</v>
      </c>
    </row>
    <row r="6" spans="1:3" x14ac:dyDescent="0.25">
      <c r="A6" s="7" t="s">
        <v>4</v>
      </c>
      <c r="C6" s="7" t="s">
        <v>5</v>
      </c>
    </row>
    <row r="7" spans="1:7" x14ac:dyDescent="0.25">
      <c r="A7" s="8" t="s">
        <v>6</v>
      </c>
      <c r="B7" s="9"/>
      <c r="C7" s="8" t="s">
        <v>7</v>
      </c>
      <c r="D7" s="8"/>
      <c r="E7" s="9"/>
      <c r="F7" s="9"/>
      <c r="G7" s="9"/>
    </row>
    <row r="8" spans="1:7" x14ac:dyDescent="0.25">
      <c r="A8" s="8" t="s">
        <v>8</v>
      </c>
      <c r="B8" s="9"/>
      <c r="C8" s="8" t="s">
        <v>9</v>
      </c>
      <c r="D8" s="8"/>
      <c r="E8" s="10"/>
      <c r="F8" s="10"/>
      <c r="G8" s="10"/>
    </row>
    <row r="9" spans="1:7" x14ac:dyDescent="0.25">
      <c r="A9" s="8" t="s">
        <v>10</v>
      </c>
      <c r="B9" s="9"/>
      <c r="C9" s="8" t="s">
        <v>11</v>
      </c>
      <c r="D9" s="8"/>
      <c r="E9" s="10"/>
      <c r="F9" s="10"/>
      <c r="G9" s="10"/>
    </row>
    <row r="11" spans="1:3" x14ac:dyDescent="0.25">
      <c r="A11" s="7" t="s">
        <v>12</v>
      </c>
      <c r="C11" s="7" t="s">
        <v>13</v>
      </c>
    </row>
    <row r="12" spans="1:7" x14ac:dyDescent="0.25">
      <c r="A12" s="8" t="s">
        <v>14</v>
      </c>
      <c r="B12" s="9"/>
      <c r="C12" s="8" t="s">
        <v>6</v>
      </c>
      <c r="D12" s="8"/>
      <c r="E12" s="9"/>
      <c r="F12" s="9"/>
      <c r="G12" s="9"/>
    </row>
    <row r="13" spans="1:7" x14ac:dyDescent="0.25">
      <c r="A13" s="8" t="s">
        <v>15</v>
      </c>
      <c r="B13" s="9"/>
      <c r="C13" s="8" t="s">
        <v>16</v>
      </c>
      <c r="D13" s="8"/>
      <c r="E13" s="9"/>
      <c r="F13" s="9"/>
      <c r="G13" s="9"/>
    </row>
    <row r="14" spans="1:7" x14ac:dyDescent="0.25">
      <c r="A14" s="8" t="s">
        <v>17</v>
      </c>
      <c r="B14" s="9"/>
      <c r="C14" s="8" t="s">
        <v>18</v>
      </c>
      <c r="D14" s="8"/>
      <c r="E14" s="9"/>
      <c r="F14" s="9"/>
      <c r="G14" s="9"/>
    </row>
    <row r="15" spans="1:7" x14ac:dyDescent="0.25">
      <c r="A15" s="8" t="s">
        <v>19</v>
      </c>
      <c r="B15" s="9"/>
      <c r="C15" s="8" t="s">
        <v>20</v>
      </c>
      <c r="D15" s="8"/>
      <c r="E15" s="9"/>
      <c r="F15" s="9"/>
      <c r="G15" s="9"/>
    </row>
    <row r="17" ht="22" customHeight="1" spans="1:7" x14ac:dyDescent="0.25">
      <c r="A17" s="11" t="s">
        <v>21</v>
      </c>
      <c r="B17" s="12" t="s">
        <v>22</v>
      </c>
      <c r="C17" s="13" t="s">
        <v>23</v>
      </c>
      <c r="D17" s="11" t="s">
        <v>24</v>
      </c>
      <c r="E17" s="13" t="s">
        <v>25</v>
      </c>
      <c r="F17" s="13" t="s">
        <v>26</v>
      </c>
      <c r="G17" s="12" t="s">
        <v>27</v>
      </c>
    </row>
    <row r="18" ht="20" customHeight="1" spans="1:7" x14ac:dyDescent="0.25">
      <c r="A18" s="14" t="s">
        <v>28</v>
      </c>
      <c r="B18" s="14"/>
      <c r="C18" s="14"/>
      <c r="D18" s="14"/>
      <c r="E18" s="14"/>
      <c r="F18" s="14"/>
      <c r="G18" s="14"/>
    </row>
    <row r="19" spans="1:7" x14ac:dyDescent="0.25">
      <c r="A19" s="15">
        <v>1</v>
      </c>
      <c r="B19" s="16"/>
      <c r="C19" s="17"/>
      <c r="D19" s="18"/>
      <c r="E19" s="19"/>
      <c r="F19" s="20">
        <f>IF(OR(C19="",E19=""),"",C19*E19)</f>
      </c>
      <c r="G19" s="16"/>
    </row>
    <row r="20" spans="1:7" x14ac:dyDescent="0.25">
      <c r="A20" s="15">
        <v>2</v>
      </c>
      <c r="B20" s="16"/>
      <c r="C20" s="17"/>
      <c r="D20" s="18"/>
      <c r="E20" s="19"/>
      <c r="F20" s="20">
        <f>IF(OR(C20="",E20=""),"",C20*E20)</f>
      </c>
      <c r="G20" s="16"/>
    </row>
    <row r="21" spans="1:7" x14ac:dyDescent="0.25">
      <c r="A21" s="15">
        <v>3</v>
      </c>
      <c r="B21" s="16"/>
      <c r="C21" s="17"/>
      <c r="D21" s="18"/>
      <c r="E21" s="19"/>
      <c r="F21" s="20">
        <f>IF(OR(C21="",E21=""),"",C21*E21)</f>
      </c>
      <c r="G21" s="16"/>
    </row>
    <row r="22" spans="1:7" x14ac:dyDescent="0.25">
      <c r="A22" s="15">
        <v>4</v>
      </c>
      <c r="B22" s="16"/>
      <c r="C22" s="17"/>
      <c r="D22" s="18"/>
      <c r="E22" s="19"/>
      <c r="F22" s="20">
        <f>IF(OR(C22="",E22=""),"",C22*E22)</f>
      </c>
      <c r="G22" s="16"/>
    </row>
    <row r="23" spans="1:7" x14ac:dyDescent="0.25">
      <c r="A23" s="15">
        <v>5</v>
      </c>
      <c r="B23" s="16"/>
      <c r="C23" s="17"/>
      <c r="D23" s="18"/>
      <c r="E23" s="19"/>
      <c r="F23" s="20">
        <f>IF(OR(C23="",E23=""),"",C23*E23)</f>
      </c>
      <c r="G23" s="16"/>
    </row>
    <row r="24" spans="1:7" x14ac:dyDescent="0.25">
      <c r="A24" s="15">
        <v>6</v>
      </c>
      <c r="B24" s="16"/>
      <c r="C24" s="17"/>
      <c r="D24" s="18"/>
      <c r="E24" s="19"/>
      <c r="F24" s="20">
        <f>IF(OR(C24="",E24=""),"",C24*E24)</f>
      </c>
      <c r="G24" s="16"/>
    </row>
    <row r="25" spans="1:7" x14ac:dyDescent="0.25">
      <c r="A25" s="15">
        <v>7</v>
      </c>
      <c r="B25" s="16"/>
      <c r="C25" s="17"/>
      <c r="D25" s="18"/>
      <c r="E25" s="19"/>
      <c r="F25" s="20">
        <f>IF(OR(C25="",E25=""),"",C25*E25)</f>
      </c>
      <c r="G25" s="16"/>
    </row>
    <row r="26" spans="1:7" x14ac:dyDescent="0.25">
      <c r="A26" s="15">
        <v>8</v>
      </c>
      <c r="B26" s="16"/>
      <c r="C26" s="17"/>
      <c r="D26" s="18"/>
      <c r="E26" s="19"/>
      <c r="F26" s="20">
        <f>IF(OR(C26="",E26=""),"",C26*E26)</f>
      </c>
      <c r="G26" s="16"/>
    </row>
    <row r="27" spans="1:7" x14ac:dyDescent="0.25">
      <c r="A27" s="21" t="s">
        <v>29</v>
      </c>
      <c r="B27" s="22" t="s">
        <v>30</v>
      </c>
      <c r="C27" s="21"/>
      <c r="D27" s="21"/>
      <c r="E27" s="21"/>
      <c r="F27" s="23">
        <f>SUM(F19:F26)</f>
      </c>
      <c r="G27" s="21"/>
    </row>
    <row r="29" ht="20" customHeight="1" spans="1:7" x14ac:dyDescent="0.25">
      <c r="A29" s="14" t="s">
        <v>31</v>
      </c>
      <c r="B29" s="14"/>
      <c r="C29" s="14"/>
      <c r="D29" s="14"/>
      <c r="E29" s="14"/>
      <c r="F29" s="14"/>
      <c r="G29" s="14"/>
    </row>
    <row r="30" spans="1:7" x14ac:dyDescent="0.25">
      <c r="A30" s="15">
        <v>9</v>
      </c>
      <c r="B30" s="16"/>
      <c r="C30" s="17"/>
      <c r="D30" s="18"/>
      <c r="E30" s="19"/>
      <c r="F30" s="20">
        <f>IF(OR(C30="",E30=""),"",C30*E30)</f>
      </c>
      <c r="G30" s="16"/>
    </row>
    <row r="31" spans="1:7" x14ac:dyDescent="0.25">
      <c r="A31" s="15">
        <v>10</v>
      </c>
      <c r="B31" s="16"/>
      <c r="C31" s="17"/>
      <c r="D31" s="18"/>
      <c r="E31" s="19"/>
      <c r="F31" s="20">
        <f>IF(OR(C31="",E31=""),"",C31*E31)</f>
      </c>
      <c r="G31" s="16"/>
    </row>
    <row r="32" spans="1:7" x14ac:dyDescent="0.25">
      <c r="A32" s="15">
        <v>11</v>
      </c>
      <c r="B32" s="16"/>
      <c r="C32" s="17"/>
      <c r="D32" s="18"/>
      <c r="E32" s="19"/>
      <c r="F32" s="20">
        <f>IF(OR(C32="",E32=""),"",C32*E32)</f>
      </c>
      <c r="G32" s="16"/>
    </row>
    <row r="33" spans="1:7" x14ac:dyDescent="0.25">
      <c r="A33" s="15">
        <v>12</v>
      </c>
      <c r="B33" s="16"/>
      <c r="C33" s="17"/>
      <c r="D33" s="18"/>
      <c r="E33" s="19"/>
      <c r="F33" s="20">
        <f>IF(OR(C33="",E33=""),"",C33*E33)</f>
      </c>
      <c r="G33" s="16"/>
    </row>
    <row r="34" spans="1:7" x14ac:dyDescent="0.25">
      <c r="A34" s="15">
        <v>13</v>
      </c>
      <c r="B34" s="16"/>
      <c r="C34" s="17"/>
      <c r="D34" s="18"/>
      <c r="E34" s="19"/>
      <c r="F34" s="20">
        <f>IF(OR(C34="",E34=""),"",C34*E34)</f>
      </c>
      <c r="G34" s="16"/>
    </row>
    <row r="35" spans="1:7" x14ac:dyDescent="0.25">
      <c r="A35" s="21" t="s">
        <v>29</v>
      </c>
      <c r="B35" s="22" t="s">
        <v>32</v>
      </c>
      <c r="C35" s="21"/>
      <c r="D35" s="21"/>
      <c r="E35" s="21"/>
      <c r="F35" s="23">
        <f>SUM(F30:F34)</f>
      </c>
      <c r="G35" s="21"/>
    </row>
    <row r="37" ht="20" customHeight="1" spans="1:7" x14ac:dyDescent="0.25">
      <c r="A37" s="14" t="s">
        <v>33</v>
      </c>
      <c r="B37" s="14"/>
      <c r="C37" s="14"/>
      <c r="D37" s="14"/>
      <c r="E37" s="14"/>
      <c r="F37" s="14"/>
      <c r="G37" s="14"/>
    </row>
    <row r="38" spans="1:7" x14ac:dyDescent="0.25">
      <c r="A38" s="15">
        <v>14</v>
      </c>
      <c r="B38" s="16"/>
      <c r="C38" s="17"/>
      <c r="D38" s="18"/>
      <c r="E38" s="19"/>
      <c r="F38" s="20">
        <f>IF(OR(C38="",E38=""),"",C38*E38)</f>
      </c>
      <c r="G38" s="16"/>
    </row>
    <row r="39" spans="1:7" x14ac:dyDescent="0.25">
      <c r="A39" s="15">
        <v>15</v>
      </c>
      <c r="B39" s="16"/>
      <c r="C39" s="17"/>
      <c r="D39" s="18"/>
      <c r="E39" s="19"/>
      <c r="F39" s="20">
        <f>IF(OR(C39="",E39=""),"",C39*E39)</f>
      </c>
      <c r="G39" s="16"/>
    </row>
    <row r="40" spans="1:7" x14ac:dyDescent="0.25">
      <c r="A40" s="15">
        <v>16</v>
      </c>
      <c r="B40" s="16"/>
      <c r="C40" s="17"/>
      <c r="D40" s="18"/>
      <c r="E40" s="19"/>
      <c r="F40" s="20">
        <f>IF(OR(C40="",E40=""),"",C40*E40)</f>
      </c>
      <c r="G40" s="16"/>
    </row>
    <row r="41" spans="1:7" x14ac:dyDescent="0.25">
      <c r="A41" s="15">
        <v>17</v>
      </c>
      <c r="B41" s="16"/>
      <c r="C41" s="17"/>
      <c r="D41" s="18"/>
      <c r="E41" s="19"/>
      <c r="F41" s="20">
        <f>IF(OR(C41="",E41=""),"",C41*E41)</f>
      </c>
      <c r="G41" s="16"/>
    </row>
    <row r="42" spans="1:7" x14ac:dyDescent="0.25">
      <c r="A42" s="21" t="s">
        <v>29</v>
      </c>
      <c r="B42" s="22" t="s">
        <v>34</v>
      </c>
      <c r="C42" s="21"/>
      <c r="D42" s="21"/>
      <c r="E42" s="21"/>
      <c r="F42" s="23">
        <f>SUM(F38:F41)</f>
      </c>
      <c r="G42" s="21"/>
    </row>
    <row r="44" ht="20" customHeight="1" spans="1:7" x14ac:dyDescent="0.25">
      <c r="A44" s="14" t="s">
        <v>35</v>
      </c>
      <c r="B44" s="14"/>
      <c r="C44" s="14"/>
      <c r="D44" s="14"/>
      <c r="E44" s="14"/>
      <c r="F44" s="14"/>
      <c r="G44" s="14"/>
    </row>
    <row r="45" spans="1:7" x14ac:dyDescent="0.25">
      <c r="A45" s="15">
        <v>18</v>
      </c>
      <c r="B45" s="16"/>
      <c r="C45" s="17"/>
      <c r="D45" s="18"/>
      <c r="E45" s="19"/>
      <c r="F45" s="20">
        <f>IF(OR(C45="",E45=""),"",C45*E45)</f>
      </c>
      <c r="G45" s="16"/>
    </row>
    <row r="46" spans="1:7" x14ac:dyDescent="0.25">
      <c r="A46" s="15">
        <v>19</v>
      </c>
      <c r="B46" s="16"/>
      <c r="C46" s="17"/>
      <c r="D46" s="18"/>
      <c r="E46" s="19"/>
      <c r="F46" s="20">
        <f>IF(OR(C46="",E46=""),"",C46*E46)</f>
      </c>
      <c r="G46" s="16"/>
    </row>
    <row r="47" spans="1:7" x14ac:dyDescent="0.25">
      <c r="A47" s="15">
        <v>20</v>
      </c>
      <c r="B47" s="16"/>
      <c r="C47" s="17"/>
      <c r="D47" s="18"/>
      <c r="E47" s="19"/>
      <c r="F47" s="20">
        <f>IF(OR(C47="",E47=""),"",C47*E47)</f>
      </c>
      <c r="G47" s="16"/>
    </row>
    <row r="48" spans="1:7" x14ac:dyDescent="0.25">
      <c r="A48" s="15">
        <v>21</v>
      </c>
      <c r="B48" s="16"/>
      <c r="C48" s="17"/>
      <c r="D48" s="18"/>
      <c r="E48" s="19"/>
      <c r="F48" s="20">
        <f>IF(OR(C48="",E48=""),"",C48*E48)</f>
      </c>
      <c r="G48" s="16"/>
    </row>
    <row r="49" spans="1:7" x14ac:dyDescent="0.25">
      <c r="A49" s="15">
        <v>22</v>
      </c>
      <c r="B49" s="16"/>
      <c r="C49" s="17"/>
      <c r="D49" s="18"/>
      <c r="E49" s="19"/>
      <c r="F49" s="20">
        <f>IF(OR(C49="",E49=""),"",C49*E49)</f>
      </c>
      <c r="G49" s="16"/>
    </row>
    <row r="50" spans="1:7" x14ac:dyDescent="0.25">
      <c r="A50" s="21" t="s">
        <v>29</v>
      </c>
      <c r="B50" s="22" t="s">
        <v>36</v>
      </c>
      <c r="C50" s="21"/>
      <c r="D50" s="21"/>
      <c r="E50" s="21"/>
      <c r="F50" s="23">
        <f>SUM(F45:F49)</f>
      </c>
      <c r="G50" s="21"/>
    </row>
    <row r="52" ht="22" customHeight="1" spans="1:7" x14ac:dyDescent="0.25">
      <c r="A52" s="24" t="s">
        <v>29</v>
      </c>
      <c r="B52" s="24" t="s">
        <v>37</v>
      </c>
      <c r="C52" s="24"/>
      <c r="D52" s="24"/>
      <c r="E52" s="24"/>
      <c r="F52" s="25">
        <f>F27+F35+F42+F50</f>
      </c>
      <c r="G52" s="24"/>
    </row>
    <row r="53" spans="2:6" x14ac:dyDescent="0.25">
      <c r="B53" s="26" t="s">
        <v>38</v>
      </c>
      <c r="E53" s="27">
        <v>0</v>
      </c>
      <c r="F53" s="28">
        <f>F27*E53</f>
      </c>
    </row>
    <row r="54" spans="2:6" x14ac:dyDescent="0.25">
      <c r="B54" s="26" t="s">
        <v>39</v>
      </c>
      <c r="E54" s="29">
        <v>0.03</v>
      </c>
      <c r="F54" s="28">
        <f>F52*E54</f>
      </c>
    </row>
    <row r="55" ht="22" customHeight="1" spans="1:7" x14ac:dyDescent="0.25">
      <c r="A55" s="24" t="s">
        <v>29</v>
      </c>
      <c r="B55" s="24" t="s">
        <v>40</v>
      </c>
      <c r="C55" s="24"/>
      <c r="D55" s="24"/>
      <c r="E55" s="24"/>
      <c r="F55" s="25">
        <f>F52+F53+F54</f>
      </c>
      <c r="G55" s="24"/>
    </row>
    <row r="56" spans="2:6" x14ac:dyDescent="0.25">
      <c r="B56" s="26" t="s">
        <v>41</v>
      </c>
      <c r="E56" s="29">
        <v>0.1</v>
      </c>
      <c r="F56" s="28">
        <f>F55*E56</f>
      </c>
    </row>
    <row r="57" spans="2:6" x14ac:dyDescent="0.25">
      <c r="B57" s="26" t="s">
        <v>42</v>
      </c>
      <c r="F57" s="28">
        <f>F55+F56</f>
      </c>
    </row>
    <row r="58" spans="2:6" x14ac:dyDescent="0.25">
      <c r="B58" s="26" t="s">
        <v>43</v>
      </c>
      <c r="E58" s="29">
        <v>0.12</v>
      </c>
      <c r="F58" s="28">
        <f>IF(E58&gt;=1,"",F57/(1-E58)-F57)</f>
      </c>
    </row>
    <row r="59" ht="22" customHeight="1" spans="1:7" x14ac:dyDescent="0.25">
      <c r="A59" s="24" t="s">
        <v>29</v>
      </c>
      <c r="B59" s="24" t="s">
        <v>44</v>
      </c>
      <c r="C59" s="24"/>
      <c r="D59" s="24"/>
      <c r="E59" s="24"/>
      <c r="F59" s="30">
        <f>F57+N(F58)</f>
      </c>
      <c r="G59" s="24"/>
    </row>
    <row r="60" spans="2:6" x14ac:dyDescent="0.25">
      <c r="B60" s="31" t="s">
        <v>45</v>
      </c>
      <c r="F60" s="32">
        <f>IFERROR(N(F58)/F57,0)</f>
      </c>
    </row>
    <row r="61" spans="2:6" x14ac:dyDescent="0.25">
      <c r="B61" s="31" t="s">
        <v>46</v>
      </c>
      <c r="F61" s="32">
        <f>IFERROR(N(F58)/F59,0)</f>
      </c>
    </row>
    <row r="63" spans="1:1" x14ac:dyDescent="0.25">
      <c r="A63" s="7" t="s">
        <v>47</v>
      </c>
    </row>
    <row r="64" ht="18" customHeight="1" spans="1:7" x14ac:dyDescent="0.25">
      <c r="A64" s="33"/>
      <c r="B64" s="33"/>
      <c r="C64" s="33"/>
      <c r="D64" s="33"/>
      <c r="E64" s="33"/>
      <c r="F64" s="33"/>
      <c r="G64" s="33"/>
    </row>
    <row r="65" ht="18" customHeight="1" spans="1:7" x14ac:dyDescent="0.25">
      <c r="A65" s="33"/>
      <c r="B65" s="33"/>
      <c r="C65" s="33"/>
      <c r="D65" s="33"/>
      <c r="E65" s="33"/>
      <c r="F65" s="33"/>
      <c r="G65" s="33"/>
    </row>
    <row r="66" ht="18" customHeight="1" spans="1:7" x14ac:dyDescent="0.25">
      <c r="A66" s="33"/>
      <c r="B66" s="33"/>
      <c r="C66" s="33"/>
      <c r="D66" s="33"/>
      <c r="E66" s="33"/>
      <c r="F66" s="33"/>
      <c r="G66" s="33"/>
    </row>
    <row r="67" ht="18" customHeight="1" spans="1:7" x14ac:dyDescent="0.25">
      <c r="A67" s="33"/>
      <c r="B67" s="33"/>
      <c r="C67" s="33"/>
      <c r="D67" s="33"/>
      <c r="E67" s="33"/>
      <c r="F67" s="33"/>
      <c r="G67" s="33"/>
    </row>
    <row r="69" ht="40" customHeight="1" spans="1:7" x14ac:dyDescent="0.25">
      <c r="A69" s="34" t="s">
        <v>48</v>
      </c>
      <c r="B69" s="34"/>
      <c r="C69" s="34"/>
      <c r="D69" s="34"/>
      <c r="E69" s="34"/>
      <c r="F69" s="34"/>
      <c r="G69" s="34"/>
    </row>
    <row r="71" ht="26" customHeight="1" spans="1:7" x14ac:dyDescent="0.25">
      <c r="A71" s="35" t="s">
        <v>49</v>
      </c>
      <c r="B71" s="35"/>
      <c r="C71" s="35"/>
      <c r="D71" s="35"/>
      <c r="E71" s="35"/>
      <c r="F71" s="35"/>
      <c r="G71" s="35"/>
    </row>
  </sheetData>
  <mergeCells count="18">
    <mergeCell ref="E1:G1"/>
    <mergeCell ref="C7:D7"/>
    <mergeCell ref="E7:G7"/>
    <mergeCell ref="C8:D8"/>
    <mergeCell ref="E8:G8"/>
    <mergeCell ref="C9:D9"/>
    <mergeCell ref="E9:G9"/>
    <mergeCell ref="C12:D12"/>
    <mergeCell ref="E12:G12"/>
    <mergeCell ref="C13:D13"/>
    <mergeCell ref="E13:G13"/>
    <mergeCell ref="C14:D14"/>
    <mergeCell ref="E14:G14"/>
    <mergeCell ref="C15:D15"/>
    <mergeCell ref="E15:G15"/>
    <mergeCell ref="A64:G67"/>
    <mergeCell ref="A69:G69"/>
    <mergeCell ref="A71:G71"/>
  </mergeCells>
  <hyperlinks>
    <hyperlink ref="A71" r:id="rId1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1"/>
  <headerFooter>
    <oddFooter>&amp;L&amp;8&amp;K8B93A1Free template by BuildWorkPro · buildworkpro.com/templates&amp;C&amp;8&amp;K8B93A1Estimate&amp;R&amp;8&amp;K8B93A1Page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6" customWidth="1"/>
    <col min="3" max="3" width="4" customWidth="1"/>
    <col min="4" max="4" width="16" customWidth="1"/>
    <col min="5" max="5" width="18" customWidth="1"/>
  </cols>
  <sheetData>
    <row r="1" ht="30" customHeight="1" spans="1:1" x14ac:dyDescent="0.25">
      <c r="A1" s="1" t="s">
        <v>50</v>
      </c>
    </row>
    <row r="2" spans="1:1" x14ac:dyDescent="0.25">
      <c r="A2" s="3" t="s">
        <v>51</v>
      </c>
    </row>
    <row r="3" ht="6" customHeight="1" spans="1:5" x14ac:dyDescent="0.25">
      <c r="A3" s="4"/>
      <c r="B3" s="4"/>
      <c r="C3" s="4"/>
      <c r="D3" s="4"/>
      <c r="E3" s="4"/>
    </row>
    <row r="4" ht="28" customHeight="1" spans="1:5" x14ac:dyDescent="0.25">
      <c r="A4" s="36" t="s">
        <v>52</v>
      </c>
      <c r="B4" s="36"/>
      <c r="C4" s="36"/>
      <c r="D4" s="36"/>
      <c r="E4" s="36"/>
    </row>
    <row r="5" ht="42" customHeight="1" spans="1:5" x14ac:dyDescent="0.25">
      <c r="A5" s="36" t="s">
        <v>53</v>
      </c>
      <c r="B5" s="36"/>
      <c r="C5" s="36"/>
      <c r="D5" s="36"/>
      <c r="E5" s="36"/>
    </row>
    <row r="6" ht="42" customHeight="1" spans="1:5" x14ac:dyDescent="0.25">
      <c r="A6" s="37" t="s">
        <v>54</v>
      </c>
      <c r="B6" s="37"/>
      <c r="C6" s="37"/>
      <c r="D6" s="37"/>
      <c r="E6" s="37"/>
    </row>
    <row r="8" spans="1:1" x14ac:dyDescent="0.25">
      <c r="A8" s="7" t="s">
        <v>55</v>
      </c>
    </row>
    <row r="9" spans="1:2" x14ac:dyDescent="0.25">
      <c r="A9" s="5"/>
      <c r="B9" s="6" t="s">
        <v>3</v>
      </c>
    </row>
    <row r="10" spans="1:2" x14ac:dyDescent="0.25">
      <c r="A10" s="8" t="s">
        <v>56</v>
      </c>
      <c r="B10" s="38">
        <v>100000</v>
      </c>
    </row>
    <row r="11" ht="22" customHeight="1" spans="1:5" x14ac:dyDescent="0.25">
      <c r="A11" s="12" t="s">
        <v>57</v>
      </c>
      <c r="B11" s="13" t="s">
        <v>58</v>
      </c>
      <c r="C11" s="12" t="s">
        <v>29</v>
      </c>
      <c r="D11" s="13" t="s">
        <v>59</v>
      </c>
      <c r="E11" s="13" t="s">
        <v>60</v>
      </c>
    </row>
    <row r="12" spans="1:5" x14ac:dyDescent="0.25">
      <c r="A12" s="39" t="s">
        <v>61</v>
      </c>
      <c r="B12" s="29">
        <v>0.15</v>
      </c>
      <c r="D12" s="28">
        <f>B10*(1+B12)</f>
      </c>
      <c r="E12" s="40">
        <f>IFERROR(B12/(1+B12),0)</f>
      </c>
    </row>
    <row r="13" spans="5:5" x14ac:dyDescent="0.25">
      <c r="E13" s="41" t="s">
        <v>62</v>
      </c>
    </row>
    <row r="14" spans="1:5" x14ac:dyDescent="0.25">
      <c r="A14" s="39" t="s">
        <v>63</v>
      </c>
      <c r="B14" s="29">
        <v>0.15</v>
      </c>
      <c r="D14" s="28">
        <f>IF(B14&gt;=1,"",B10/(1-B14))</f>
      </c>
      <c r="E14" s="40">
        <f>IF(B14&gt;=1,"",B14/(1-B14))</f>
      </c>
    </row>
    <row r="15" spans="5:5" x14ac:dyDescent="0.25">
      <c r="E15" s="41" t="s">
        <v>64</v>
      </c>
    </row>
    <row r="16" ht="22" customHeight="1" spans="1:5" x14ac:dyDescent="0.25">
      <c r="A16" s="24" t="s">
        <v>65</v>
      </c>
      <c r="B16" s="24"/>
      <c r="C16" s="24"/>
      <c r="D16" s="25">
        <f>IFERROR(D14-D12,0)</f>
      </c>
      <c r="E16" s="24"/>
    </row>
    <row r="18" spans="1:1" x14ac:dyDescent="0.25">
      <c r="A18" s="7" t="s">
        <v>66</v>
      </c>
    </row>
    <row r="19" ht="22" customHeight="1" spans="1:5" x14ac:dyDescent="0.25">
      <c r="A19" s="13" t="s">
        <v>67</v>
      </c>
      <c r="B19" s="13" t="s">
        <v>68</v>
      </c>
      <c r="C19" s="12" t="s">
        <v>29</v>
      </c>
      <c r="D19" s="13" t="s">
        <v>68</v>
      </c>
      <c r="E19" s="13" t="s">
        <v>69</v>
      </c>
    </row>
    <row r="20" spans="1:5" x14ac:dyDescent="0.25">
      <c r="A20" s="42">
        <v>0.1</v>
      </c>
      <c r="B20" s="42">
        <f>A20/(1+A20)</f>
      </c>
      <c r="C20" s="21" t="s">
        <v>29</v>
      </c>
      <c r="D20" s="42">
        <v>0.1</v>
      </c>
      <c r="E20" s="42">
        <f>D20/(1-D20)</f>
      </c>
    </row>
    <row r="21" spans="1:5" x14ac:dyDescent="0.25">
      <c r="A21" s="42">
        <v>0.15</v>
      </c>
      <c r="B21" s="42">
        <f>A21/(1+A21)</f>
      </c>
      <c r="C21" s="21" t="s">
        <v>29</v>
      </c>
      <c r="D21" s="42">
        <v>0.12</v>
      </c>
      <c r="E21" s="42">
        <f>D21/(1-D21)</f>
      </c>
    </row>
    <row r="22" spans="1:5" x14ac:dyDescent="0.25">
      <c r="A22" s="42">
        <v>0.2</v>
      </c>
      <c r="B22" s="42">
        <f>A22/(1+A22)</f>
      </c>
      <c r="C22" s="21" t="s">
        <v>29</v>
      </c>
      <c r="D22" s="42">
        <v>0.15</v>
      </c>
      <c r="E22" s="42">
        <f>D22/(1-D22)</f>
      </c>
    </row>
    <row r="23" spans="1:5" x14ac:dyDescent="0.25">
      <c r="A23" s="42">
        <v>0.25</v>
      </c>
      <c r="B23" s="42">
        <f>A23/(1+A23)</f>
      </c>
      <c r="C23" s="21" t="s">
        <v>29</v>
      </c>
      <c r="D23" s="42">
        <v>0.2</v>
      </c>
      <c r="E23" s="42">
        <f>D23/(1-D23)</f>
      </c>
    </row>
    <row r="24" spans="1:5" x14ac:dyDescent="0.25">
      <c r="A24" s="42">
        <v>0.3</v>
      </c>
      <c r="B24" s="42">
        <f>A24/(1+A24)</f>
      </c>
      <c r="C24" s="21" t="s">
        <v>29</v>
      </c>
      <c r="D24" s="42">
        <v>0.25</v>
      </c>
      <c r="E24" s="42">
        <f>D24/(1-D24)</f>
      </c>
    </row>
    <row r="25" spans="1:5" x14ac:dyDescent="0.25">
      <c r="A25" s="42">
        <v>0.35</v>
      </c>
      <c r="B25" s="42">
        <f>A25/(1+A25)</f>
      </c>
      <c r="C25" s="21" t="s">
        <v>29</v>
      </c>
      <c r="D25" s="42">
        <v>0.3</v>
      </c>
      <c r="E25" s="42">
        <f>D25/(1-D25)</f>
      </c>
    </row>
    <row r="26" spans="1:5" x14ac:dyDescent="0.25">
      <c r="A26" s="42">
        <v>0.4</v>
      </c>
      <c r="B26" s="42">
        <f>A26/(1+A26)</f>
      </c>
      <c r="C26" s="21" t="s">
        <v>29</v>
      </c>
      <c r="D26" s="42">
        <v>0.35</v>
      </c>
      <c r="E26" s="42">
        <f>D26/(1-D26)</f>
      </c>
    </row>
    <row r="27" spans="1:5" x14ac:dyDescent="0.25">
      <c r="A27" s="42">
        <v>0.5</v>
      </c>
      <c r="B27" s="42">
        <f>A27/(1+A27)</f>
      </c>
      <c r="C27" s="21" t="s">
        <v>29</v>
      </c>
      <c r="D27" s="42">
        <v>0.4</v>
      </c>
      <c r="E27" s="42">
        <f>D27/(1-D27)</f>
      </c>
    </row>
    <row r="28" spans="1:5" x14ac:dyDescent="0.25">
      <c r="A28" s="42">
        <v>1</v>
      </c>
      <c r="B28" s="42">
        <f>A28/(1+A28)</f>
      </c>
      <c r="C28" s="21" t="s">
        <v>29</v>
      </c>
      <c r="D28" s="42">
        <v>0.5</v>
      </c>
      <c r="E28" s="42">
        <f>D28/(1-D28)</f>
      </c>
    </row>
    <row r="30" ht="16" customHeight="1" spans="1:5" x14ac:dyDescent="0.25">
      <c r="A30" s="37" t="s">
        <v>70</v>
      </c>
      <c r="B30" s="37"/>
      <c r="C30" s="37"/>
      <c r="D30" s="37"/>
      <c r="E30" s="37"/>
    </row>
    <row r="32" spans="1:1" x14ac:dyDescent="0.25">
      <c r="A32" s="43" t="s">
        <v>71</v>
      </c>
    </row>
    <row r="33" spans="1:1" x14ac:dyDescent="0.25">
      <c r="A33" s="43" t="s">
        <v>72</v>
      </c>
    </row>
    <row r="35" ht="26" customHeight="1" spans="1:5" x14ac:dyDescent="0.25">
      <c r="A35" s="35" t="s">
        <v>73</v>
      </c>
      <c r="B35" s="35"/>
      <c r="C35" s="35"/>
      <c r="D35" s="35"/>
      <c r="E35" s="35"/>
    </row>
  </sheetData>
  <mergeCells count="5">
    <mergeCell ref="A4:E4"/>
    <mergeCell ref="A5:E5"/>
    <mergeCell ref="A6:E6"/>
    <mergeCell ref="A30:E30"/>
    <mergeCell ref="A35:E35"/>
  </mergeCells>
  <hyperlinks>
    <hyperlink ref="A32" r:id="rId1"/>
    <hyperlink ref="A33" r:id="rId2"/>
    <hyperlink ref="A35" r:id="rId3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1"/>
  <headerFooter>
    <oddFooter>&amp;L&amp;8&amp;K8B93A1Free template by BuildWorkPro · buildworkpro.com/templates&amp;C&amp;8&amp;K8B93A1Markup vs Margin&amp;R&amp;8&amp;K8B93A1Page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B2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1" ht="30" customHeight="1" spans="1:1" x14ac:dyDescent="0.25">
      <c r="A1" s="1" t="s">
        <v>74</v>
      </c>
    </row>
    <row r="2" ht="6" customHeight="1" spans="1:2" x14ac:dyDescent="0.25">
      <c r="A2" s="4"/>
      <c r="B2" s="4"/>
    </row>
    <row r="4" ht="30" customHeight="1" spans="1:2" x14ac:dyDescent="0.25">
      <c r="A4" s="44" t="s">
        <v>75</v>
      </c>
      <c r="B4" s="45" t="s">
        <v>76</v>
      </c>
    </row>
    <row r="5" ht="30" customHeight="1" spans="1:2" x14ac:dyDescent="0.25">
      <c r="A5" s="44" t="s">
        <v>77</v>
      </c>
      <c r="B5" s="45" t="s">
        <v>78</v>
      </c>
    </row>
    <row r="6" ht="30" customHeight="1" spans="1:2" x14ac:dyDescent="0.25">
      <c r="A6" s="44" t="s">
        <v>79</v>
      </c>
      <c r="B6" s="45" t="s">
        <v>80</v>
      </c>
    </row>
    <row r="7" ht="30" customHeight="1" spans="1:2" x14ac:dyDescent="0.25">
      <c r="A7" s="44" t="s">
        <v>81</v>
      </c>
      <c r="B7" s="45" t="s">
        <v>82</v>
      </c>
    </row>
    <row r="8" ht="45" customHeight="1" spans="1:2" x14ac:dyDescent="0.25">
      <c r="A8" s="44" t="s">
        <v>83</v>
      </c>
      <c r="B8" s="45" t="s">
        <v>84</v>
      </c>
    </row>
    <row r="9" ht="30" customHeight="1" spans="1:2" x14ac:dyDescent="0.25">
      <c r="A9" s="44" t="s">
        <v>85</v>
      </c>
      <c r="B9" s="45" t="s">
        <v>86</v>
      </c>
    </row>
    <row r="11" spans="2:2" x14ac:dyDescent="0.25">
      <c r="B11" s="7" t="s">
        <v>87</v>
      </c>
    </row>
    <row r="12" ht="30" customHeight="1" spans="1:2" x14ac:dyDescent="0.25">
      <c r="A12" s="46" t="s">
        <v>88</v>
      </c>
      <c r="B12" s="47" t="s">
        <v>89</v>
      </c>
    </row>
    <row r="13" ht="30" customHeight="1" spans="1:2" x14ac:dyDescent="0.25">
      <c r="A13" s="46" t="s">
        <v>88</v>
      </c>
      <c r="B13" s="47" t="s">
        <v>90</v>
      </c>
    </row>
    <row r="14" ht="30" customHeight="1" spans="1:2" x14ac:dyDescent="0.25">
      <c r="A14" s="46" t="s">
        <v>88</v>
      </c>
      <c r="B14" s="47" t="s">
        <v>91</v>
      </c>
    </row>
    <row r="15" ht="30" customHeight="1" spans="1:2" x14ac:dyDescent="0.25">
      <c r="A15" s="46" t="s">
        <v>88</v>
      </c>
      <c r="B15" s="47" t="s">
        <v>92</v>
      </c>
    </row>
    <row r="17" ht="44" customHeight="1" spans="1:2" x14ac:dyDescent="0.25">
      <c r="A17" s="34" t="s">
        <v>93</v>
      </c>
      <c r="B17" s="34"/>
    </row>
    <row r="18" spans="2:2" x14ac:dyDescent="0.25">
      <c r="B18" s="43" t="s">
        <v>94</v>
      </c>
    </row>
    <row r="20" ht="78" customHeight="1" spans="1:2" x14ac:dyDescent="0.25">
      <c r="A20" s="35" t="s">
        <v>95</v>
      </c>
      <c r="B20" s="35"/>
    </row>
  </sheetData>
  <mergeCells count="2">
    <mergeCell ref="A17:B17"/>
    <mergeCell ref="A20:B20"/>
  </mergeCells>
  <hyperlinks>
    <hyperlink ref="B18" r:id="rId1"/>
    <hyperlink ref="A20" r:id="rId2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0"/>
  <headerFooter>
    <oddFooter>&amp;L&amp;8&amp;K8B93A1Free template by BuildWorkPro · buildworkpro.com/templates&amp;C&amp;8&amp;K8B93A1How to Use&amp;R&amp;8&amp;K8B93A1Page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Estimate</vt:lpstr>
      <vt:lpstr>Markup vs Margin</vt:lpstr>
      <vt:lpstr>How to Use</vt:lpstr>
    </vt:vector>
  </TitlesOfParts>
  <Company>BuildWorkPro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BuildWorkPro</dc:creator>
  <dc:title>Construction Estimate Template</dc:title>
  <dc:subject>Construction Estimate Template</dc:subject>
  <dc:description/>
  <cp:keywords>construction template, subcontractor, buildworkpro</cp:keywords>
  <cp:category/>
  <cp:lastModifiedBy>BuildWorkPro</cp:lastModifiedBy>
  <dcterms:created xsi:type="dcterms:W3CDTF">2026-09-17T12:00:00Z</dcterms:created>
  <dcterms:modified xsi:type="dcterms:W3CDTF">2026-09-17T12:00:00Z</dcterms:modified>
</cp:coreProperties>
</file>