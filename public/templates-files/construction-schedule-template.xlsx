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  <sheet sheetId="2" name="Example" state="visible" r:id="rId5"/>
    <sheet sheetId="3" name="How to Use" state="visible" r:id="rId6"/>
  </sheets>
  <definedNames>
    <definedName name="_xlnm.Print_Area" localSheetId="0">'Schedule'!$A1:$Y56</definedName>
    <definedName name="_xlnm.Print_Titles" localSheetId="0">'Schedule'!$10:$11</definedName>
    <definedName name="_xlnm.Print_Area" localSheetId="1">'Example'!$A1:$Y56</definedName>
    <definedName name="_xlnm.Print_Titles" localSheetId="1">'Example'!$10:$11</definedName>
  </definedNames>
  <calcPr calcId="171027" fullCalcOnLoad="1"/>
</workbook>
</file>

<file path=xl/sharedStrings.xml><?xml version="1.0" encoding="utf-8"?>
<sst xmlns="http://schemas.openxmlformats.org/spreadsheetml/2006/main" count="175" uniqueCount="112">
  <si>
    <t>Construction Schedule</t>
  </si>
  <si>
    <t>Print: landscape, fits one page</t>
  </si>
  <si>
    <t>Enter a start date and a duration in workdays for each task; the end date, the bars and the summary calculate. Change the chart start or the days per column to pan or zoom the Gantt.</t>
  </si>
  <si>
    <t>Amber cells are yours to fill in. Everything else calculates.</t>
  </si>
  <si>
    <t>Project</t>
  </si>
  <si>
    <t>Chart start (Monday of column 1)</t>
  </si>
  <si>
    <t>Planned</t>
  </si>
  <si>
    <t>Prepared by</t>
  </si>
  <si>
    <t>Days per column (7 = weekly)</t>
  </si>
  <si>
    <t>Complete (to % done)</t>
  </si>
  <si>
    <t>Revision / date</t>
  </si>
  <si>
    <t>Status date (draws the today band)</t>
  </si>
  <si>
    <t>Status date column</t>
  </si>
  <si>
    <t>#</t>
  </si>
  <si>
    <t>PHASE</t>
  </si>
  <si>
    <t>TASK</t>
  </si>
  <si>
    <t>START</t>
  </si>
  <si>
    <t>DUR (WD)</t>
  </si>
  <si>
    <t>END</t>
  </si>
  <si>
    <t>% DONE</t>
  </si>
  <si>
    <t>PRED #</t>
  </si>
  <si>
    <t>OWNER / CREW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</si>
  <si>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</si>
  <si>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</si>
  <si>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</si>
  <si>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</si>
  <si>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</si>
  <si>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</si>
  <si>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</si>
  <si>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</si>
  <si>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</si>
  <si>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</si>
  <si>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</si>
  <si>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</si>
  <si>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</si>
  <si>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</si>
  <si>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</si>
  <si>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</si>
  <si>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</si>
  <si>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Summary</t>
  </si>
  <si>
    <t>earliest start · latest finish · % (duration-weighted)</t>
  </si>
  <si>
    <t>How the bars work: a column is shaded when the task overlaps the dates that column covers (its start date plus the days per column). The dark part of the bar follows % done. A red start date means the task starts before its predecessor finishes.</t>
  </si>
  <si>
    <t>Free template by BuildWorkPro — buildworkpro.com/templates. Planning document, not a contract schedule: contract time and milestone dates come from your subcontract.</t>
  </si>
  <si>
    <t>Construction Schedule — Example</t>
  </si>
  <si>
    <t>The completed example: a mechanical subcontract, June–November 2026, status as of August 31. Days per column is set to 14 so the whole job fits; set it to 7 for a weekly view.</t>
  </si>
  <si>
    <t>Harbor Point Medical Office — Building B</t>
  </si>
  <si>
    <t>Dana Whitfield, Project Manager</t>
  </si>
  <si>
    <t>Rev 2 · updated September 3, 2026</t>
  </si>
  <si>
    <t>Mobilization</t>
  </si>
  <si>
    <t>Mobilize, temp facilities &amp; layout</t>
  </si>
  <si>
    <t>L. Herrera</t>
  </si>
  <si>
    <t>Submittals: RTUs, fixtures, duct shops</t>
  </si>
  <si>
    <t>D. Whitfield</t>
  </si>
  <si>
    <t>Underground</t>
  </si>
  <si>
    <t>Underground sanitary &amp; storm</t>
  </si>
  <si>
    <t>Crew A</t>
  </si>
  <si>
    <t>Underground inspection &amp; backfill</t>
  </si>
  <si>
    <t>Rough-in</t>
  </si>
  <si>
    <t>Domestic water rough-in, Level 1</t>
  </si>
  <si>
    <t>Sanitary waste &amp; vent rough-in, Level 1</t>
  </si>
  <si>
    <t>Crew B</t>
  </si>
  <si>
    <t>Water &amp; waste rough-in, Level 2</t>
  </si>
  <si>
    <t>HVAC equipment</t>
  </si>
  <si>
    <t>RTU curbs &amp; roof coord. (CO-001 RTU-2)</t>
  </si>
  <si>
    <t>Sheet metal</t>
  </si>
  <si>
    <t>Crane day: set RTU-1 to RTU-4</t>
  </si>
  <si>
    <t>Set AHU-3 &amp; mech room equipment</t>
  </si>
  <si>
    <t>Ductwork</t>
  </si>
  <si>
    <t>Duct mains &amp; risers, Level 1</t>
  </si>
  <si>
    <t>Duct mains &amp; branches, Level 2</t>
  </si>
  <si>
    <t>Diffusers, grilles &amp; dampers</t>
  </si>
  <si>
    <t>Piping</t>
  </si>
  <si>
    <t>Refrigerant piping to RTUs</t>
  </si>
  <si>
    <t>Hydronic piping, AHU-3 &amp; reheat coils</t>
  </si>
  <si>
    <t>Controls</t>
  </si>
  <si>
    <t>Controls rough-in &amp; wiring</t>
  </si>
  <si>
    <t>BMS sub</t>
  </si>
  <si>
    <t>BMS integration &amp; point-to-point</t>
  </si>
  <si>
    <t>Insulation</t>
  </si>
  <si>
    <t>Duct insulation</t>
  </si>
  <si>
    <t>Insulation sub</t>
  </si>
  <si>
    <t>Pipe insulation</t>
  </si>
  <si>
    <t>Fixtures</t>
  </si>
  <si>
    <t>Plumbing fixtures &amp; trim</t>
  </si>
  <si>
    <t>Test &amp; balance</t>
  </si>
  <si>
    <t>Testing, air &amp; water balancing</t>
  </si>
  <si>
    <t>TAB agency</t>
  </si>
  <si>
    <t>Commissioning &amp; owner training</t>
  </si>
  <si>
    <t>Closeout</t>
  </si>
  <si>
    <t>Punch list, O&amp;M manuals, closeout</t>
  </si>
  <si>
    <t>How to use the Construction Schedule Template</t>
  </si>
  <si>
    <t>1.</t>
  </si>
  <si>
    <t>On the Schedule sheet, enter the project, the Monday you want column 1 to start on, and the days per column: 7 gives a 16-week weekly view, 14 covers eight months at two weeks per column.</t>
  </si>
  <si>
    <t>2.</t>
  </si>
  <si>
    <t>List the work one task per row, grouped by phase. Give each task a start date and a duration in workdays — the end date is computed with WORKDAY, so weekends are skipped automatically.</t>
  </si>
  <si>
    <t>3.</t>
  </si>
  <si>
    <t>Put the task number that must finish first in Pred #. If a start date turns red, that task starts before its predecessor ends — move it or shorten the predecessor.</t>
  </si>
  <si>
    <t>4.</t>
  </si>
  <si>
    <t>The Gantt shades itself: light blue where a task overlaps a column, dark blue for the portion that is done as you update % done each week.</t>
  </si>
  <si>
    <t>5.</t>
  </si>
  <si>
    <t>Enter a status date to draw a highlighted column through the chart, then print (landscape, one page) for the trailer wall or the weekly meeting. Change the chart start date to pan forward as the job progresses.</t>
  </si>
  <si>
    <t>6.</t>
  </si>
  <si>
    <t>The Example sheet holds a complete six-month mechanical schedule with the same formulas — copy rows from it or clear it and use it as a second project.</t>
  </si>
  <si>
    <t>TIPS FROM THE FIELD</t>
  </si>
  <si>
    <t>•</t>
  </si>
  <si>
    <t>Task durations of two days to two weeks are the useful range. Finer and you are maintaining a spreadsheet instead of building; coarser and slippage hides inside long bars.</t>
  </si>
  <si>
    <t>Update % done and the status date every week, on the same day. A schedule that is updated irregularly gets ignored.</t>
  </si>
  <si>
    <t>When a change order adds contract time, add the days to the affected task and note the CO number in the task name — the revised completion date has to match the signed change order.</t>
  </si>
  <si>
    <t>Record delays in the daily report the day they happen. The schedule shows the effect; the daily report proves the cause.</t>
  </si>
  <si>
    <t>In BuildWorkPro, phases and tasks carry start dates and workday durations, dependencies highlight the critical path, and the Gantt chart is rescheduled by dragging bars — on the same project as your change orders, site logs and pay applications.</t>
  </si>
  <si>
    <t>https://buildworkpro.com/features/project-management/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</si>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</sst>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 d, yyyy"/>
    <numFmt numFmtId="165" formatCode="m/d"/>
  </numFmts>
  <fonts count="18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color rgb="FF4A5260"/>
      <sz val="9"/>
      <name val="Calibri"/>
    </font>
    <font>
      <color rgb="FF4A5260"/>
      <sz val="8.5"/>
      <name val="Calibri"/>
    </font>
    <font>
      <b/>
      <color rgb="FF4A5260"/>
      <sz val="7.5"/>
      <name val="Calibri"/>
    </font>
    <font>
      <b/>
      <color rgb="FF1B1F24"/>
      <sz val="7.5"/>
      <name val="Calibri"/>
    </font>
    <font>
      <color rgb="FF8B93A1"/>
      <sz val="10"/>
      <name val="Calibri"/>
    </font>
    <font>
      <b/>
      <color rgb="FF1B1F24"/>
      <sz val="10"/>
      <name val="Calibri"/>
    </font>
    <font>
      <i/>
      <color rgb="FF8B93A1"/>
      <sz val="7.5"/>
      <name val="Calibri"/>
    </font>
    <font>
      <color rgb="FF8B93A1"/>
      <sz val="8"/>
      <name val="Calibri"/>
    </font>
    <font>
      <b/>
      <color rgb="FF4A5260"/>
      <sz val="8"/>
      <name val="Calibri"/>
    </font>
    <font>
      <b/>
      <color rgb="FF4A5260"/>
      <sz val="10"/>
      <name val="Calibri"/>
    </font>
    <font>
      <b/>
      <color rgb="FF8B93A1"/>
      <sz val="7.5"/>
      <name val="Calibri"/>
    </font>
    <font>
      <u/>
      <color rgb="FF2563EB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BFDBFE"/>
      </patternFill>
    </fill>
    <fill>
      <patternFill patternType="solid">
        <fgColor rgb="FF2563EB"/>
      </patternFill>
    </fill>
    <fill>
      <patternFill patternType="solid">
        <fgColor rgb="FFFFF3D6"/>
      </patternFill>
    </fill>
    <fill>
      <patternFill patternType="solid">
        <fgColor rgb="FFF3F5F8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/>
      <right/>
      <top style="thin">
        <color rgb="FFD7DCE3"/>
      </top>
      <bottom/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4A5260"/>
      </bottom>
      <diagonal/>
    </border>
    <border>
      <left/>
      <right/>
      <top/>
      <bottom style="thin">
        <color rgb="FFD7DCE3"/>
      </bottom>
      <diagonal/>
    </border>
    <border>
      <left style="hair">
        <color rgb="FFD7DCE3"/>
      </left>
      <right/>
      <top/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/>
      <right/>
      <top style="medium">
        <color rgb="FF1B1F24"/>
      </top>
      <bottom/>
      <diagonal/>
    </border>
    <border>
      <left style="medium">
        <color rgb="FF2563EB"/>
      </left>
      <right/>
      <top/>
      <bottom/>
      <diagonal/>
    </border>
    <border>
      <left/>
      <right/>
      <top style="thin">
        <color rgb="FF8B93A1"/>
      </top>
      <bottom style="thin">
        <color rgb="FFD7DCE3"/>
      </bottom>
      <diagonal/>
    </border>
    <border>
      <left style="hair">
        <color rgb="FFD7DCE3"/>
      </left>
      <right/>
      <top style="thin">
        <color rgb="FF8B93A1"/>
      </top>
      <bottom style="thin">
        <color rgb="FFD7DCE3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0" fontId="0" fillId="3" borderId="0" xfId="0" applyFill="1"/>
    <xf numFmtId="0" fontId="7" fillId="0" borderId="0" xfId="0" applyFont="1" applyAlignment="1">
      <alignment vertical="center"/>
    </xf>
    <xf numFmtId="1" fontId="4" fillId="2" borderId="2" xfId="0" applyNumberFormat="1" applyFont="1" applyFill="1" applyBorder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8" fillId="6" borderId="3" xfId="0" applyFont="1" applyFill="1" applyBorder="1" applyAlignment="1">
      <alignment horizontal="center" vertical="bottom" wrapText="1"/>
    </xf>
    <xf numFmtId="0" fontId="8" fillId="6" borderId="3" xfId="0" applyFont="1" applyFill="1" applyBorder="1" applyAlignment="1">
      <alignment horizontal="left" vertical="bottom" wrapText="1"/>
    </xf>
    <xf numFmtId="0" fontId="8" fillId="6" borderId="4" xfId="0" applyFont="1" applyFill="1" applyBorder="1" applyAlignment="1">
      <alignment horizontal="center" vertical="bottom" wrapText="1"/>
    </xf>
    <xf numFmtId="0" fontId="0" fillId="6" borderId="5" xfId="0" applyFill="1" applyBorder="1"/>
    <xf numFmtId="165" fontId="9" fillId="6" borderId="5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164" fontId="4" fillId="2" borderId="6" xfId="0" applyNumberFormat="1" applyFont="1" applyFill="1" applyBorder="1" applyAlignment="1">
      <alignment horizontal="left" vertical="center"/>
    </xf>
    <xf numFmtId="1" fontId="4" fillId="2" borderId="6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left" vertical="center"/>
    </xf>
    <xf numFmtId="9" fontId="4" fillId="2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64" fontId="11" fillId="0" borderId="8" xfId="0" applyNumberFormat="1" applyFont="1" applyBorder="1" applyAlignment="1">
      <alignment horizontal="left" vertical="center"/>
    </xf>
    <xf numFmtId="9" fontId="11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0" fillId="0" borderId="9" xfId="0" applyBorder="1"/>
    <xf numFmtId="0" fontId="6" fillId="6" borderId="10" xfId="0" applyFont="1" applyFill="1" applyBorder="1" applyAlignment="1">
      <alignment vertical="center" wrapText="1" indent="1"/>
    </xf>
    <xf numFmtId="0" fontId="13" fillId="0" borderId="0" xfId="0" applyFont="1" applyAlignment="1">
      <alignment vertical="top" wrapText="1"/>
    </xf>
    <xf numFmtId="0" fontId="10" fillId="0" borderId="11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164" fontId="4" fillId="2" borderId="11" xfId="0" applyNumberFormat="1" applyFont="1" applyFill="1" applyBorder="1" applyAlignment="1">
      <alignment horizontal="left" vertical="center"/>
    </xf>
    <xf numFmtId="1" fontId="4" fillId="2" borderId="11" xfId="0" applyNumberFormat="1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left" vertical="center"/>
    </xf>
    <xf numFmtId="9" fontId="4" fillId="2" borderId="11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16" fillId="0" borderId="0" xfId="0" applyFont="1"/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17" fillId="0" borderId="0" xfId="0" applyFont="1"/>
  </cellXfs>
  <cellStyles count="1">
    <cellStyle name="Normal" xfId="0" builtinId="0"/>
  </cellStyles>
  <dxfs count="10">
    <dxf>
      <fill>
        <patternFill patternType="solid">
          <bgColor rgb="FF2563EB"/>
        </patternFill>
      </fill>
    </dxf>
    <dxf>
      <fill>
        <patternFill patternType="solid">
          <bgColor rgb="FFBFDBFE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ont>
        <b/>
        <color rgb="FFB3261E"/>
      </font>
      <fill>
        <patternFill patternType="solid">
          <bgColor rgb="FFFDE8E6"/>
        </patternFill>
      </fill>
    </dxf>
    <dxf>
      <fill>
        <patternFill patternType="solid">
          <bgColor rgb="FF2563EB"/>
        </patternFill>
      </fill>
    </dxf>
    <dxf>
      <fill>
        <patternFill patternType="solid">
          <bgColor rgb="FFBFDBFE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ont>
        <b/>
        <color rgb="FFB3261E"/>
      </font>
      <fill>
        <patternFill patternType="solid">
          <bgColor rgb="FFFD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project-management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6"/>
  <sheetViews>
    <sheetView workbookViewId="0" showGridLines="0">
      <pane xSplit="3" ySplit="11" topLeftCell="D12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14" customWidth="1"/>
    <col min="3" max="3" width="34" customWidth="1"/>
    <col min="4" max="4" width="12" customWidth="1"/>
    <col min="5" max="5" width="6.5" customWidth="1"/>
    <col min="6" max="6" width="12" customWidth="1"/>
    <col min="7" max="7" width="6.5" customWidth="1"/>
    <col min="8" max="8" width="6" customWidth="1"/>
    <col min="9" max="9" width="13" customWidth="1"/>
    <col min="10" max="25" width="4.3" customWidth="1"/>
  </cols>
  <sheetData>
    <row r="1" ht="30" customHeight="1" spans="1:25" x14ac:dyDescent="0.25">
      <c r="A1" s="1" t="s">
        <v>0</v>
      </c>
      <c r="R1" s="2" t="s">
        <v>1</v>
      </c>
      <c r="S1" s="2"/>
      <c r="T1" s="2"/>
      <c r="U1" s="2"/>
      <c r="V1" s="2"/>
      <c r="W1" s="2"/>
      <c r="X1" s="2"/>
      <c r="Y1" s="2"/>
    </row>
    <row r="2" spans="1:1" x14ac:dyDescent="0.25">
      <c r="A2" s="3" t="s">
        <v>2</v>
      </c>
    </row>
    <row r="3" ht="6" customHeight="1" spans="1:2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" x14ac:dyDescent="0.25">
      <c r="A4" s="5"/>
      <c r="B4" s="6" t="s">
        <v>3</v>
      </c>
    </row>
    <row r="6" spans="1:18" x14ac:dyDescent="0.25">
      <c r="A6" s="7" t="s">
        <v>4</v>
      </c>
      <c r="B6" s="7"/>
      <c r="C6" s="8"/>
      <c r="D6" s="7" t="s">
        <v>5</v>
      </c>
      <c r="E6" s="7"/>
      <c r="F6" s="7"/>
      <c r="G6" s="9"/>
      <c r="H6" s="9"/>
      <c r="I6" s="9"/>
      <c r="K6" s="10"/>
      <c r="L6" s="11" t="s">
        <v>6</v>
      </c>
      <c r="M6" s="11"/>
      <c r="N6" s="11"/>
      <c r="O6" s="11"/>
      <c r="P6" s="11"/>
      <c r="Q6" s="11"/>
      <c r="R6" s="11"/>
    </row>
    <row r="7" spans="1:18" x14ac:dyDescent="0.25">
      <c r="A7" s="7" t="s">
        <v>7</v>
      </c>
      <c r="B7" s="7"/>
      <c r="C7" s="8"/>
      <c r="D7" s="7" t="s">
        <v>8</v>
      </c>
      <c r="E7" s="7"/>
      <c r="F7" s="7"/>
      <c r="G7" s="12">
        <v>7</v>
      </c>
      <c r="H7" s="12"/>
      <c r="I7" s="12"/>
      <c r="K7" s="13"/>
      <c r="L7" s="11" t="s">
        <v>9</v>
      </c>
      <c r="M7" s="11"/>
      <c r="N7" s="11"/>
      <c r="O7" s="11"/>
      <c r="P7" s="11"/>
      <c r="Q7" s="11"/>
      <c r="R7" s="11"/>
    </row>
    <row r="8" spans="1:18" x14ac:dyDescent="0.25">
      <c r="A8" s="7" t="s">
        <v>10</v>
      </c>
      <c r="B8" s="7"/>
      <c r="C8" s="8"/>
      <c r="D8" s="7" t="s">
        <v>11</v>
      </c>
      <c r="E8" s="7"/>
      <c r="F8" s="7"/>
      <c r="G8" s="9"/>
      <c r="H8" s="9"/>
      <c r="I8" s="9"/>
      <c r="K8" s="14"/>
      <c r="L8" s="11" t="s">
        <v>12</v>
      </c>
      <c r="M8" s="11"/>
      <c r="N8" s="11"/>
      <c r="O8" s="11"/>
      <c r="P8" s="11"/>
      <c r="Q8" s="11"/>
      <c r="R8" s="11"/>
    </row>
    <row r="10" ht="22" customHeight="1" spans="1:25" x14ac:dyDescent="0.25">
      <c r="A10" s="15" t="s">
        <v>13</v>
      </c>
      <c r="B10" s="16" t="s">
        <v>14</v>
      </c>
      <c r="C10" s="16" t="s">
        <v>15</v>
      </c>
      <c r="D10" s="16" t="s">
        <v>16</v>
      </c>
      <c r="E10" s="15" t="s">
        <v>17</v>
      </c>
      <c r="F10" s="16" t="s">
        <v>18</v>
      </c>
      <c r="G10" s="15" t="s">
        <v>19</v>
      </c>
      <c r="H10" s="15" t="s">
        <v>20</v>
      </c>
      <c r="I10" s="16" t="s">
        <v>21</v>
      </c>
      <c r="J10" s="17" t="s">
        <v>22</v>
      </c>
      <c r="K10" s="17" t="s">
        <v>23</v>
      </c>
      <c r="L10" s="17" t="s">
        <v>24</v>
      </c>
      <c r="M10" s="17" t="s">
        <v>25</v>
      </c>
      <c r="N10" s="17" t="s">
        <v>26</v>
      </c>
      <c r="O10" s="17" t="s">
        <v>27</v>
      </c>
      <c r="P10" s="17" t="s">
        <v>28</v>
      </c>
      <c r="Q10" s="17" t="s">
        <v>29</v>
      </c>
      <c r="R10" s="17" t="s">
        <v>30</v>
      </c>
      <c r="S10" s="17" t="s">
        <v>31</v>
      </c>
      <c r="T10" s="17" t="s">
        <v>32</v>
      </c>
      <c r="U10" s="17" t="s">
        <v>33</v>
      </c>
      <c r="V10" s="17" t="s">
        <v>34</v>
      </c>
      <c r="W10" s="17" t="s">
        <v>35</v>
      </c>
      <c r="X10" s="17" t="s">
        <v>36</v>
      </c>
      <c r="Y10" s="17" t="s">
        <v>37</v>
      </c>
    </row>
    <row r="11" ht="16" customHeight="1" spans="1:25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9">
        <f>IF($G$6="","",$G$6+0*$G$7)</f>
      </c>
      <c r="K11" s="19">
        <f>IF($G$6="","",$G$6+1*$G$7)</f>
      </c>
      <c r="L11" s="19">
        <f>IF($G$6="","",$G$6+2*$G$7)</f>
      </c>
      <c r="M11" s="19">
        <f>IF($G$6="","",$G$6+3*$G$7)</f>
      </c>
      <c r="N11" s="19">
        <f>IF($G$6="","",$G$6+4*$G$7)</f>
      </c>
      <c r="O11" s="19">
        <f>IF($G$6="","",$G$6+5*$G$7)</f>
      </c>
      <c r="P11" s="19">
        <f>IF($G$6="","",$G$6+6*$G$7)</f>
      </c>
      <c r="Q11" s="19">
        <f>IF($G$6="","",$G$6+7*$G$7)</f>
      </c>
      <c r="R11" s="19">
        <f>IF($G$6="","",$G$6+8*$G$7)</f>
      </c>
      <c r="S11" s="19">
        <f>IF($G$6="","",$G$6+9*$G$7)</f>
      </c>
      <c r="T11" s="19">
        <f>IF($G$6="","",$G$6+10*$G$7)</f>
      </c>
      <c r="U11" s="19">
        <f>IF($G$6="","",$G$6+11*$G$7)</f>
      </c>
      <c r="V11" s="19">
        <f>IF($G$6="","",$G$6+12*$G$7)</f>
      </c>
      <c r="W11" s="19">
        <f>IF($G$6="","",$G$6+13*$G$7)</f>
      </c>
      <c r="X11" s="19">
        <f>IF($G$6="","",$G$6+14*$G$7)</f>
      </c>
      <c r="Y11" s="19">
        <f>IF($G$6="","",$G$6+15*$G$7)</f>
      </c>
    </row>
    <row r="12" ht="16" customHeight="1" spans="1:25" x14ac:dyDescent="0.25">
      <c r="A12" s="20">
        <v>1</v>
      </c>
      <c r="B12" s="21"/>
      <c r="C12" s="21"/>
      <c r="D12" s="22"/>
      <c r="E12" s="23"/>
      <c r="F12" s="24">
        <f>IF(OR(D12="",E12=""),"",IF(E12&lt;=1,D12,WORKDAY(D12,E12-1)))</f>
      </c>
      <c r="G12" s="25"/>
      <c r="H12" s="23"/>
      <c r="I12" s="21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ht="16" customHeight="1" spans="1:25" x14ac:dyDescent="0.25">
      <c r="A13" s="20">
        <v>2</v>
      </c>
      <c r="B13" s="21"/>
      <c r="C13" s="21"/>
      <c r="D13" s="22"/>
      <c r="E13" s="23"/>
      <c r="F13" s="24">
        <f>IF(OR(D13="",E13=""),"",IF(E13&lt;=1,D13,WORKDAY(D13,E13-1)))</f>
      </c>
      <c r="G13" s="25"/>
      <c r="H13" s="23"/>
      <c r="I13" s="21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ht="16" customHeight="1" spans="1:25" x14ac:dyDescent="0.25">
      <c r="A14" s="20">
        <v>3</v>
      </c>
      <c r="B14" s="21"/>
      <c r="C14" s="21"/>
      <c r="D14" s="22"/>
      <c r="E14" s="23"/>
      <c r="F14" s="24">
        <f>IF(OR(D14="",E14=""),"",IF(E14&lt;=1,D14,WORKDAY(D14,E14-1)))</f>
      </c>
      <c r="G14" s="25"/>
      <c r="H14" s="23"/>
      <c r="I14" s="21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ht="16" customHeight="1" spans="1:25" x14ac:dyDescent="0.25">
      <c r="A15" s="20">
        <v>4</v>
      </c>
      <c r="B15" s="21"/>
      <c r="C15" s="21"/>
      <c r="D15" s="22"/>
      <c r="E15" s="23"/>
      <c r="F15" s="24">
        <f>IF(OR(D15="",E15=""),"",IF(E15&lt;=1,D15,WORKDAY(D15,E15-1)))</f>
      </c>
      <c r="G15" s="25"/>
      <c r="H15" s="23"/>
      <c r="I15" s="21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ht="16" customHeight="1" spans="1:25" x14ac:dyDescent="0.25">
      <c r="A16" s="20">
        <v>5</v>
      </c>
      <c r="B16" s="21"/>
      <c r="C16" s="21"/>
      <c r="D16" s="22"/>
      <c r="E16" s="23"/>
      <c r="F16" s="24">
        <f>IF(OR(D16="",E16=""),"",IF(E16&lt;=1,D16,WORKDAY(D16,E16-1)))</f>
      </c>
      <c r="G16" s="25"/>
      <c r="H16" s="23"/>
      <c r="I16" s="21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ht="16" customHeight="1" spans="1:25" x14ac:dyDescent="0.25">
      <c r="A17" s="20">
        <v>6</v>
      </c>
      <c r="B17" s="21"/>
      <c r="C17" s="21"/>
      <c r="D17" s="22"/>
      <c r="E17" s="23"/>
      <c r="F17" s="24">
        <f>IF(OR(D17="",E17=""),"",IF(E17&lt;=1,D17,WORKDAY(D17,E17-1)))</f>
      </c>
      <c r="G17" s="25"/>
      <c r="H17" s="23"/>
      <c r="I17" s="21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ht="16" customHeight="1" spans="1:25" x14ac:dyDescent="0.25">
      <c r="A18" s="20">
        <v>7</v>
      </c>
      <c r="B18" s="21"/>
      <c r="C18" s="21"/>
      <c r="D18" s="22"/>
      <c r="E18" s="23"/>
      <c r="F18" s="24">
        <f>IF(OR(D18="",E18=""),"",IF(E18&lt;=1,D18,WORKDAY(D18,E18-1)))</f>
      </c>
      <c r="G18" s="25"/>
      <c r="H18" s="23"/>
      <c r="I18" s="21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ht="16" customHeight="1" spans="1:25" x14ac:dyDescent="0.25">
      <c r="A19" s="20">
        <v>8</v>
      </c>
      <c r="B19" s="21"/>
      <c r="C19" s="21"/>
      <c r="D19" s="22"/>
      <c r="E19" s="23"/>
      <c r="F19" s="24">
        <f>IF(OR(D19="",E19=""),"",IF(E19&lt;=1,D19,WORKDAY(D19,E19-1)))</f>
      </c>
      <c r="G19" s="25"/>
      <c r="H19" s="23"/>
      <c r="I19" s="21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ht="16" customHeight="1" spans="1:25" x14ac:dyDescent="0.25">
      <c r="A20" s="20">
        <v>9</v>
      </c>
      <c r="B20" s="21"/>
      <c r="C20" s="21"/>
      <c r="D20" s="22"/>
      <c r="E20" s="23"/>
      <c r="F20" s="24">
        <f>IF(OR(D20="",E20=""),"",IF(E20&lt;=1,D20,WORKDAY(D20,E20-1)))</f>
      </c>
      <c r="G20" s="25"/>
      <c r="H20" s="23"/>
      <c r="I20" s="21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ht="16" customHeight="1" spans="1:25" x14ac:dyDescent="0.25">
      <c r="A21" s="20">
        <v>10</v>
      </c>
      <c r="B21" s="21"/>
      <c r="C21" s="21"/>
      <c r="D21" s="22"/>
      <c r="E21" s="23"/>
      <c r="F21" s="24">
        <f>IF(OR(D21="",E21=""),"",IF(E21&lt;=1,D21,WORKDAY(D21,E21-1)))</f>
      </c>
      <c r="G21" s="25"/>
      <c r="H21" s="23"/>
      <c r="I21" s="21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ht="16" customHeight="1" spans="1:25" x14ac:dyDescent="0.25">
      <c r="A22" s="20">
        <v>11</v>
      </c>
      <c r="B22" s="21"/>
      <c r="C22" s="21"/>
      <c r="D22" s="22"/>
      <c r="E22" s="23"/>
      <c r="F22" s="24">
        <f>IF(OR(D22="",E22=""),"",IF(E22&lt;=1,D22,WORKDAY(D22,E22-1)))</f>
      </c>
      <c r="G22" s="25"/>
      <c r="H22" s="23"/>
      <c r="I22" s="21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ht="16" customHeight="1" spans="1:25" x14ac:dyDescent="0.25">
      <c r="A23" s="20">
        <v>12</v>
      </c>
      <c r="B23" s="21"/>
      <c r="C23" s="21"/>
      <c r="D23" s="22"/>
      <c r="E23" s="23"/>
      <c r="F23" s="24">
        <f>IF(OR(D23="",E23=""),"",IF(E23&lt;=1,D23,WORKDAY(D23,E23-1)))</f>
      </c>
      <c r="G23" s="25"/>
      <c r="H23" s="23"/>
      <c r="I23" s="21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ht="16" customHeight="1" spans="1:25" x14ac:dyDescent="0.25">
      <c r="A24" s="20">
        <v>13</v>
      </c>
      <c r="B24" s="21"/>
      <c r="C24" s="21"/>
      <c r="D24" s="22"/>
      <c r="E24" s="23"/>
      <c r="F24" s="24">
        <f>IF(OR(D24="",E24=""),"",IF(E24&lt;=1,D24,WORKDAY(D24,E24-1)))</f>
      </c>
      <c r="G24" s="25"/>
      <c r="H24" s="23"/>
      <c r="I24" s="21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ht="16" customHeight="1" spans="1:25" x14ac:dyDescent="0.25">
      <c r="A25" s="20">
        <v>14</v>
      </c>
      <c r="B25" s="21"/>
      <c r="C25" s="21"/>
      <c r="D25" s="22"/>
      <c r="E25" s="23"/>
      <c r="F25" s="24">
        <f>IF(OR(D25="",E25=""),"",IF(E25&lt;=1,D25,WORKDAY(D25,E25-1)))</f>
      </c>
      <c r="G25" s="25"/>
      <c r="H25" s="23"/>
      <c r="I25" s="21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ht="16" customHeight="1" spans="1:25" x14ac:dyDescent="0.25">
      <c r="A26" s="20">
        <v>15</v>
      </c>
      <c r="B26" s="21"/>
      <c r="C26" s="21"/>
      <c r="D26" s="22"/>
      <c r="E26" s="23"/>
      <c r="F26" s="24">
        <f>IF(OR(D26="",E26=""),"",IF(E26&lt;=1,D26,WORKDAY(D26,E26-1)))</f>
      </c>
      <c r="G26" s="25"/>
      <c r="H26" s="23"/>
      <c r="I26" s="21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ht="16" customHeight="1" spans="1:25" x14ac:dyDescent="0.25">
      <c r="A27" s="20">
        <v>16</v>
      </c>
      <c r="B27" s="21"/>
      <c r="C27" s="21"/>
      <c r="D27" s="22"/>
      <c r="E27" s="23"/>
      <c r="F27" s="24">
        <f>IF(OR(D27="",E27=""),"",IF(E27&lt;=1,D27,WORKDAY(D27,E27-1)))</f>
      </c>
      <c r="G27" s="25"/>
      <c r="H27" s="23"/>
      <c r="I27" s="21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ht="16" customHeight="1" spans="1:25" x14ac:dyDescent="0.25">
      <c r="A28" s="20">
        <v>17</v>
      </c>
      <c r="B28" s="21"/>
      <c r="C28" s="21"/>
      <c r="D28" s="22"/>
      <c r="E28" s="23"/>
      <c r="F28" s="24">
        <f>IF(OR(D28="",E28=""),"",IF(E28&lt;=1,D28,WORKDAY(D28,E28-1)))</f>
      </c>
      <c r="G28" s="25"/>
      <c r="H28" s="23"/>
      <c r="I28" s="21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ht="16" customHeight="1" spans="1:25" x14ac:dyDescent="0.25">
      <c r="A29" s="20">
        <v>18</v>
      </c>
      <c r="B29" s="21"/>
      <c r="C29" s="21"/>
      <c r="D29" s="22"/>
      <c r="E29" s="23"/>
      <c r="F29" s="24">
        <f>IF(OR(D29="",E29=""),"",IF(E29&lt;=1,D29,WORKDAY(D29,E29-1)))</f>
      </c>
      <c r="G29" s="25"/>
      <c r="H29" s="23"/>
      <c r="I29" s="21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ht="16" customHeight="1" spans="1:25" x14ac:dyDescent="0.25">
      <c r="A30" s="20">
        <v>19</v>
      </c>
      <c r="B30" s="21"/>
      <c r="C30" s="21"/>
      <c r="D30" s="22"/>
      <c r="E30" s="23"/>
      <c r="F30" s="24">
        <f>IF(OR(D30="",E30=""),"",IF(E30&lt;=1,D30,WORKDAY(D30,E30-1)))</f>
      </c>
      <c r="G30" s="25"/>
      <c r="H30" s="23"/>
      <c r="I30" s="21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16" customHeight="1" spans="1:25" x14ac:dyDescent="0.25">
      <c r="A31" s="20">
        <v>20</v>
      </c>
      <c r="B31" s="21"/>
      <c r="C31" s="21"/>
      <c r="D31" s="22"/>
      <c r="E31" s="23"/>
      <c r="F31" s="24">
        <f>IF(OR(D31="",E31=""),"",IF(E31&lt;=1,D31,WORKDAY(D31,E31-1)))</f>
      </c>
      <c r="G31" s="25"/>
      <c r="H31" s="23"/>
      <c r="I31" s="21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ht="16" customHeight="1" spans="1:25" x14ac:dyDescent="0.25">
      <c r="A32" s="20">
        <v>21</v>
      </c>
      <c r="B32" s="21"/>
      <c r="C32" s="21"/>
      <c r="D32" s="22"/>
      <c r="E32" s="23"/>
      <c r="F32" s="24">
        <f>IF(OR(D32="",E32=""),"",IF(E32&lt;=1,D32,WORKDAY(D32,E32-1)))</f>
      </c>
      <c r="G32" s="25"/>
      <c r="H32" s="23"/>
      <c r="I32" s="21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ht="16" customHeight="1" spans="1:25" x14ac:dyDescent="0.25">
      <c r="A33" s="20">
        <v>22</v>
      </c>
      <c r="B33" s="21"/>
      <c r="C33" s="21"/>
      <c r="D33" s="22"/>
      <c r="E33" s="23"/>
      <c r="F33" s="24">
        <f>IF(OR(D33="",E33=""),"",IF(E33&lt;=1,D33,WORKDAY(D33,E33-1)))</f>
      </c>
      <c r="G33" s="25"/>
      <c r="H33" s="23"/>
      <c r="I33" s="21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ht="16" customHeight="1" spans="1:25" x14ac:dyDescent="0.25">
      <c r="A34" s="20">
        <v>23</v>
      </c>
      <c r="B34" s="21"/>
      <c r="C34" s="21"/>
      <c r="D34" s="22"/>
      <c r="E34" s="23"/>
      <c r="F34" s="24">
        <f>IF(OR(D34="",E34=""),"",IF(E34&lt;=1,D34,WORKDAY(D34,E34-1)))</f>
      </c>
      <c r="G34" s="25"/>
      <c r="H34" s="23"/>
      <c r="I34" s="21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ht="16" customHeight="1" spans="1:25" x14ac:dyDescent="0.25">
      <c r="A35" s="20">
        <v>24</v>
      </c>
      <c r="B35" s="21"/>
      <c r="C35" s="21"/>
      <c r="D35" s="22"/>
      <c r="E35" s="23"/>
      <c r="F35" s="24">
        <f>IF(OR(D35="",E35=""),"",IF(E35&lt;=1,D35,WORKDAY(D35,E35-1)))</f>
      </c>
      <c r="G35" s="25"/>
      <c r="H35" s="23"/>
      <c r="I35" s="21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ht="16" customHeight="1" spans="1:25" x14ac:dyDescent="0.25">
      <c r="A36" s="20">
        <v>25</v>
      </c>
      <c r="B36" s="21"/>
      <c r="C36" s="21"/>
      <c r="D36" s="22"/>
      <c r="E36" s="23"/>
      <c r="F36" s="24">
        <f>IF(OR(D36="",E36=""),"",IF(E36&lt;=1,D36,WORKDAY(D36,E36-1)))</f>
      </c>
      <c r="G36" s="25"/>
      <c r="H36" s="23"/>
      <c r="I36" s="21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ht="16" customHeight="1" spans="1:25" x14ac:dyDescent="0.25">
      <c r="A37" s="20">
        <v>26</v>
      </c>
      <c r="B37" s="21"/>
      <c r="C37" s="21"/>
      <c r="D37" s="22"/>
      <c r="E37" s="23"/>
      <c r="F37" s="24">
        <f>IF(OR(D37="",E37=""),"",IF(E37&lt;=1,D37,WORKDAY(D37,E37-1)))</f>
      </c>
      <c r="G37" s="25"/>
      <c r="H37" s="23"/>
      <c r="I37" s="21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ht="16" customHeight="1" spans="1:25" x14ac:dyDescent="0.25">
      <c r="A38" s="20">
        <v>27</v>
      </c>
      <c r="B38" s="21"/>
      <c r="C38" s="21"/>
      <c r="D38" s="22"/>
      <c r="E38" s="23"/>
      <c r="F38" s="24">
        <f>IF(OR(D38="",E38=""),"",IF(E38&lt;=1,D38,WORKDAY(D38,E38-1)))</f>
      </c>
      <c r="G38" s="25"/>
      <c r="H38" s="23"/>
      <c r="I38" s="21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ht="16" customHeight="1" spans="1:25" x14ac:dyDescent="0.25">
      <c r="A39" s="20">
        <v>28</v>
      </c>
      <c r="B39" s="21"/>
      <c r="C39" s="21"/>
      <c r="D39" s="22"/>
      <c r="E39" s="23"/>
      <c r="F39" s="24">
        <f>IF(OR(D39="",E39=""),"",IF(E39&lt;=1,D39,WORKDAY(D39,E39-1)))</f>
      </c>
      <c r="G39" s="25"/>
      <c r="H39" s="23"/>
      <c r="I39" s="21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ht="16" customHeight="1" spans="1:25" x14ac:dyDescent="0.25">
      <c r="A40" s="20">
        <v>29</v>
      </c>
      <c r="B40" s="21"/>
      <c r="C40" s="21"/>
      <c r="D40" s="22"/>
      <c r="E40" s="23"/>
      <c r="F40" s="24">
        <f>IF(OR(D40="",E40=""),"",IF(E40&lt;=1,D40,WORKDAY(D40,E40-1)))</f>
      </c>
      <c r="G40" s="25"/>
      <c r="H40" s="23"/>
      <c r="I40" s="21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ht="16" customHeight="1" spans="1:25" x14ac:dyDescent="0.25">
      <c r="A41" s="20">
        <v>30</v>
      </c>
      <c r="B41" s="21"/>
      <c r="C41" s="21"/>
      <c r="D41" s="22"/>
      <c r="E41" s="23"/>
      <c r="F41" s="24">
        <f>IF(OR(D41="",E41=""),"",IF(E41&lt;=1,D41,WORKDAY(D41,E41-1)))</f>
      </c>
      <c r="G41" s="25"/>
      <c r="H41" s="23"/>
      <c r="I41" s="21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ht="16" customHeight="1" spans="1:25" x14ac:dyDescent="0.25">
      <c r="A42" s="20">
        <v>31</v>
      </c>
      <c r="B42" s="21"/>
      <c r="C42" s="21"/>
      <c r="D42" s="22"/>
      <c r="E42" s="23"/>
      <c r="F42" s="24">
        <f>IF(OR(D42="",E42=""),"",IF(E42&lt;=1,D42,WORKDAY(D42,E42-1)))</f>
      </c>
      <c r="G42" s="25"/>
      <c r="H42" s="23"/>
      <c r="I42" s="21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ht="16" customHeight="1" spans="1:25" x14ac:dyDescent="0.25">
      <c r="A43" s="20">
        <v>32</v>
      </c>
      <c r="B43" s="21"/>
      <c r="C43" s="21"/>
      <c r="D43" s="22"/>
      <c r="E43" s="23"/>
      <c r="F43" s="24">
        <f>IF(OR(D43="",E43=""),"",IF(E43&lt;=1,D43,WORKDAY(D43,E43-1)))</f>
      </c>
      <c r="G43" s="25"/>
      <c r="H43" s="23"/>
      <c r="I43" s="21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ht="16" customHeight="1" spans="1:25" x14ac:dyDescent="0.25">
      <c r="A44" s="20">
        <v>33</v>
      </c>
      <c r="B44" s="21"/>
      <c r="C44" s="21"/>
      <c r="D44" s="22"/>
      <c r="E44" s="23"/>
      <c r="F44" s="24">
        <f>IF(OR(D44="",E44=""),"",IF(E44&lt;=1,D44,WORKDAY(D44,E44-1)))</f>
      </c>
      <c r="G44" s="25"/>
      <c r="H44" s="23"/>
      <c r="I44" s="21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ht="16" customHeight="1" spans="1:25" x14ac:dyDescent="0.25">
      <c r="A45" s="20">
        <v>34</v>
      </c>
      <c r="B45" s="21"/>
      <c r="C45" s="21"/>
      <c r="D45" s="22"/>
      <c r="E45" s="23"/>
      <c r="F45" s="24">
        <f>IF(OR(D45="",E45=""),"",IF(E45&lt;=1,D45,WORKDAY(D45,E45-1)))</f>
      </c>
      <c r="G45" s="25"/>
      <c r="H45" s="23"/>
      <c r="I45" s="21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ht="16" customHeight="1" spans="1:25" x14ac:dyDescent="0.25">
      <c r="A46" s="20">
        <v>35</v>
      </c>
      <c r="B46" s="21"/>
      <c r="C46" s="21"/>
      <c r="D46" s="22"/>
      <c r="E46" s="23"/>
      <c r="F46" s="24">
        <f>IF(OR(D46="",E46=""),"",IF(E46&lt;=1,D46,WORKDAY(D46,E46-1)))</f>
      </c>
      <c r="G46" s="25"/>
      <c r="H46" s="23"/>
      <c r="I46" s="21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ht="16" customHeight="1" spans="1:25" x14ac:dyDescent="0.25">
      <c r="A47" s="20">
        <v>36</v>
      </c>
      <c r="B47" s="21"/>
      <c r="C47" s="21"/>
      <c r="D47" s="22"/>
      <c r="E47" s="23"/>
      <c r="F47" s="24">
        <f>IF(OR(D47="",E47=""),"",IF(E47&lt;=1,D47,WORKDAY(D47,E47-1)))</f>
      </c>
      <c r="G47" s="25"/>
      <c r="H47" s="23"/>
      <c r="I47" s="21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ht="16" customHeight="1" spans="1:25" x14ac:dyDescent="0.25">
      <c r="A48" s="20">
        <v>37</v>
      </c>
      <c r="B48" s="21"/>
      <c r="C48" s="21"/>
      <c r="D48" s="22"/>
      <c r="E48" s="23"/>
      <c r="F48" s="24">
        <f>IF(OR(D48="",E48=""),"",IF(E48&lt;=1,D48,WORKDAY(D48,E48-1)))</f>
      </c>
      <c r="G48" s="25"/>
      <c r="H48" s="23"/>
      <c r="I48" s="21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ht="16" customHeight="1" spans="1:25" x14ac:dyDescent="0.25">
      <c r="A49" s="20">
        <v>38</v>
      </c>
      <c r="B49" s="21"/>
      <c r="C49" s="21"/>
      <c r="D49" s="22"/>
      <c r="E49" s="23"/>
      <c r="F49" s="24">
        <f>IF(OR(D49="",E49=""),"",IF(E49&lt;=1,D49,WORKDAY(D49,E49-1)))</f>
      </c>
      <c r="G49" s="25"/>
      <c r="H49" s="23"/>
      <c r="I49" s="21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ht="16" customHeight="1" spans="1:25" x14ac:dyDescent="0.25">
      <c r="A50" s="20">
        <v>39</v>
      </c>
      <c r="B50" s="21"/>
      <c r="C50" s="21"/>
      <c r="D50" s="22"/>
      <c r="E50" s="23"/>
      <c r="F50" s="24">
        <f>IF(OR(D50="",E50=""),"",IF(E50&lt;=1,D50,WORKDAY(D50,E50-1)))</f>
      </c>
      <c r="G50" s="25"/>
      <c r="H50" s="23"/>
      <c r="I50" s="21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ht="16" customHeight="1" spans="1:25" x14ac:dyDescent="0.25">
      <c r="A51" s="20">
        <v>40</v>
      </c>
      <c r="B51" s="21"/>
      <c r="C51" s="21"/>
      <c r="D51" s="22"/>
      <c r="E51" s="23"/>
      <c r="F51" s="24">
        <f>IF(OR(D51="",E51=""),"",IF(E51&lt;=1,D51,WORKDAY(D51,E51-1)))</f>
      </c>
      <c r="G51" s="25"/>
      <c r="H51" s="23"/>
      <c r="I51" s="21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ht="22" customHeight="1" spans="1:25" x14ac:dyDescent="0.25">
      <c r="A52" s="27" t="s">
        <v>38</v>
      </c>
      <c r="B52" s="27" t="s">
        <v>39</v>
      </c>
      <c r="C52" s="27">
        <f>"Tasks: "&amp;COUNTA(C12:C51)&amp;"   ·   Complete: "&amp;COUNTIF(G12:G51,1)&amp;"   ·   In progress: "&amp;COUNTIFS(G12:G51,"&gt;0",G12:G51,"&lt;1")</f>
      </c>
      <c r="D52" s="28">
        <f>IF(COUNT(D12:D51)=0,"",MIN(D12:D51))</f>
      </c>
      <c r="E52" s="27" t="s">
        <v>38</v>
      </c>
      <c r="F52" s="28">
        <f>IF(COUNT(F12:F51)=0,"",MAX(F12:F51))</f>
      </c>
      <c r="G52" s="29">
        <f>IF(SUM(E12:E51)=0,"",SUMPRODUCT(E12:E51,G12:G51)/SUM(E12:E51))</f>
      </c>
      <c r="H52" s="27" t="s">
        <v>38</v>
      </c>
      <c r="I52" s="30" t="s">
        <v>40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4" ht="30" customHeight="1" spans="1:25" x14ac:dyDescent="0.25">
      <c r="A54" s="32" t="s">
        <v>41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6" ht="16" customHeight="1" spans="1:25" x14ac:dyDescent="0.25">
      <c r="A56" s="33" t="s">
        <v>42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</sheetData>
  <mergeCells count="15">
    <mergeCell ref="R1:Y1"/>
    <mergeCell ref="A6:B6"/>
    <mergeCell ref="D6:F6"/>
    <mergeCell ref="G6:I6"/>
    <mergeCell ref="L6:R6"/>
    <mergeCell ref="A7:B7"/>
    <mergeCell ref="D7:F7"/>
    <mergeCell ref="G7:I7"/>
    <mergeCell ref="L7:R7"/>
    <mergeCell ref="A8:B8"/>
    <mergeCell ref="D8:F8"/>
    <mergeCell ref="G8:I8"/>
    <mergeCell ref="L8:R8"/>
    <mergeCell ref="A54:Y54"/>
    <mergeCell ref="A56:Y56"/>
  </mergeCells>
  <conditionalFormatting sqref="J12:Y51">
    <cfRule type="expression" dxfId="0" priority="1">
      <formula>AND($D12&lt;&gt;"",$F12&lt;&gt;"",J$11&lt;&gt;"",$D12&lt;=J$11+$G$7-1,$F12&gt;=J$11,$G12&gt;0,J$11&lt;$D12+($F12-$D12+1)*$G12)</formula>
    </cfRule>
    <cfRule type="expression" dxfId="1" priority="2">
      <formula>AND($D12&lt;&gt;"",$F12&lt;&gt;"",J$11&lt;&gt;"",$D12&lt;=J$11+$G$7-1,$F12&gt;=J$11,OR($G12=0,$G12="",J$11&gt;=$D12+($F12-$D12+1)*$G12))</formula>
    </cfRule>
    <cfRule type="expression" dxfId="2" priority="3">
      <formula>AND($G$8&lt;&gt;"",J$11&lt;&gt;"",J$11&lt;=$G$8,J$11+$G$7-1&gt;=$G$8)</formula>
    </cfRule>
  </conditionalFormatting>
  <conditionalFormatting sqref="J11:Y11">
    <cfRule type="expression" dxfId="3" priority="4">
      <formula>AND($G$8&lt;&gt;"",J$11&lt;&gt;"",J$11&lt;=$G$8,J$11+$G$7-1&gt;=$G$8)</formula>
    </cfRule>
  </conditionalFormatting>
  <conditionalFormatting sqref="D12:D51">
    <cfRule type="expression" dxfId="4" priority="5">
      <formula>AND($H12&lt;&gt;"",$D12&lt;&gt;"",ISNUMBER(MATCH($H12,$A$12:$A$51,0)),ISNUMBER(INDEX($F$12:$F$51,MATCH($H12,$A$12:$A$51,0))),$D12&lt;=INDEX($F$12:$F$51,MATCH($H12,$A$12:$A$51,0)))</formula>
    </cfRule>
  </conditionalFormatting>
  <dataValidations count="2">
    <dataValidation type="whole" operator="greaterThanOrEqual" allowBlank="1" showErrorMessage="1" errorTitle="Duration" error="Duration is a whole number of workdays." sqref="E12:E51">
      <formula1>0</formula1>
    </dataValidation>
    <dataValidation type="decimal" allowBlank="1" showErrorMessage="1" errorTitle="Percent complete" error="Enter a value between 0% and 100%." sqref="G12:G51">
      <formula1>0</formula1>
      <formula2>1</formula2>
    </dataValidation>
  </dataValidations>
  <hyperlinks>
    <hyperlink ref="A56" r:id="rId1"/>
  </hyperlinks>
  <printOptions horizontalCentered="1"/>
  <pageMargins left="0.5" right="0.5" top="0.6" bottom="0.6" header="0.3" footer="0.3"/>
  <pageSetup paperSize="1" orientation="landscape" horizontalDpi="4294967295" verticalDpi="4294967295" scale="100" fitToWidth="1" fitToHeight="1"/>
  <headerFooter>
    <oddFooter>&amp;L&amp;8&amp;K8B93A1Free template by BuildWorkPro · buildworkpro.com/templates&amp;C&amp;8&amp;K8B93A1Schedule&amp;R&amp;8&amp;K8B93A1Page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6"/>
  <sheetViews>
    <sheetView workbookViewId="0" showGridLines="0">
      <pane xSplit="3" ySplit="11" topLeftCell="D12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14" customWidth="1"/>
    <col min="3" max="3" width="34" customWidth="1"/>
    <col min="4" max="4" width="12" customWidth="1"/>
    <col min="5" max="5" width="6.5" customWidth="1"/>
    <col min="6" max="6" width="12" customWidth="1"/>
    <col min="7" max="7" width="6.5" customWidth="1"/>
    <col min="8" max="8" width="6" customWidth="1"/>
    <col min="9" max="9" width="13" customWidth="1"/>
    <col min="10" max="25" width="4.3" customWidth="1"/>
  </cols>
  <sheetData>
    <row r="1" ht="30" customHeight="1" spans="1:25" x14ac:dyDescent="0.25">
      <c r="A1" s="1" t="s">
        <v>43</v>
      </c>
      <c r="R1" s="2" t="s">
        <v>1</v>
      </c>
      <c r="S1" s="2"/>
      <c r="T1" s="2"/>
      <c r="U1" s="2"/>
      <c r="V1" s="2"/>
      <c r="W1" s="2"/>
      <c r="X1" s="2"/>
      <c r="Y1" s="2"/>
    </row>
    <row r="2" spans="1:1" x14ac:dyDescent="0.25">
      <c r="A2" s="3" t="s">
        <v>44</v>
      </c>
    </row>
    <row r="3" ht="6" customHeight="1" spans="1:2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" x14ac:dyDescent="0.25">
      <c r="A4" s="5"/>
      <c r="B4" s="6" t="s">
        <v>3</v>
      </c>
    </row>
    <row r="6" spans="1:18" x14ac:dyDescent="0.25">
      <c r="A6" s="7" t="s">
        <v>4</v>
      </c>
      <c r="B6" s="7"/>
      <c r="C6" s="8" t="s">
        <v>45</v>
      </c>
      <c r="D6" s="7" t="s">
        <v>5</v>
      </c>
      <c r="E6" s="7"/>
      <c r="F6" s="7"/>
      <c r="G6" s="9">
        <v>46174</v>
      </c>
      <c r="H6" s="9"/>
      <c r="I6" s="9"/>
      <c r="K6" s="10"/>
      <c r="L6" s="11" t="s">
        <v>6</v>
      </c>
      <c r="M6" s="11"/>
      <c r="N6" s="11"/>
      <c r="O6" s="11"/>
      <c r="P6" s="11"/>
      <c r="Q6" s="11"/>
      <c r="R6" s="11"/>
    </row>
    <row r="7" spans="1:18" x14ac:dyDescent="0.25">
      <c r="A7" s="7" t="s">
        <v>7</v>
      </c>
      <c r="B7" s="7"/>
      <c r="C7" s="8" t="s">
        <v>46</v>
      </c>
      <c r="D7" s="7" t="s">
        <v>8</v>
      </c>
      <c r="E7" s="7"/>
      <c r="F7" s="7"/>
      <c r="G7" s="12">
        <v>14</v>
      </c>
      <c r="H7" s="12"/>
      <c r="I7" s="12"/>
      <c r="K7" s="13"/>
      <c r="L7" s="11" t="s">
        <v>9</v>
      </c>
      <c r="M7" s="11"/>
      <c r="N7" s="11"/>
      <c r="O7" s="11"/>
      <c r="P7" s="11"/>
      <c r="Q7" s="11"/>
      <c r="R7" s="11"/>
    </row>
    <row r="8" spans="1:18" x14ac:dyDescent="0.25">
      <c r="A8" s="7" t="s">
        <v>10</v>
      </c>
      <c r="B8" s="7"/>
      <c r="C8" s="8" t="s">
        <v>47</v>
      </c>
      <c r="D8" s="7" t="s">
        <v>11</v>
      </c>
      <c r="E8" s="7"/>
      <c r="F8" s="7"/>
      <c r="G8" s="9">
        <v>46265</v>
      </c>
      <c r="H8" s="9"/>
      <c r="I8" s="9"/>
      <c r="K8" s="14"/>
      <c r="L8" s="11" t="s">
        <v>12</v>
      </c>
      <c r="M8" s="11"/>
      <c r="N8" s="11"/>
      <c r="O8" s="11"/>
      <c r="P8" s="11"/>
      <c r="Q8" s="11"/>
      <c r="R8" s="11"/>
    </row>
    <row r="10" ht="22" customHeight="1" spans="1:25" x14ac:dyDescent="0.25">
      <c r="A10" s="15" t="s">
        <v>13</v>
      </c>
      <c r="B10" s="16" t="s">
        <v>14</v>
      </c>
      <c r="C10" s="16" t="s">
        <v>15</v>
      </c>
      <c r="D10" s="16" t="s">
        <v>16</v>
      </c>
      <c r="E10" s="15" t="s">
        <v>17</v>
      </c>
      <c r="F10" s="16" t="s">
        <v>18</v>
      </c>
      <c r="G10" s="15" t="s">
        <v>19</v>
      </c>
      <c r="H10" s="15" t="s">
        <v>20</v>
      </c>
      <c r="I10" s="16" t="s">
        <v>21</v>
      </c>
      <c r="J10" s="17" t="s">
        <v>22</v>
      </c>
      <c r="K10" s="17" t="s">
        <v>23</v>
      </c>
      <c r="L10" s="17" t="s">
        <v>24</v>
      </c>
      <c r="M10" s="17" t="s">
        <v>25</v>
      </c>
      <c r="N10" s="17" t="s">
        <v>26</v>
      </c>
      <c r="O10" s="17" t="s">
        <v>27</v>
      </c>
      <c r="P10" s="17" t="s">
        <v>28</v>
      </c>
      <c r="Q10" s="17" t="s">
        <v>29</v>
      </c>
      <c r="R10" s="17" t="s">
        <v>30</v>
      </c>
      <c r="S10" s="17" t="s">
        <v>31</v>
      </c>
      <c r="T10" s="17" t="s">
        <v>32</v>
      </c>
      <c r="U10" s="17" t="s">
        <v>33</v>
      </c>
      <c r="V10" s="17" t="s">
        <v>34</v>
      </c>
      <c r="W10" s="17" t="s">
        <v>35</v>
      </c>
      <c r="X10" s="17" t="s">
        <v>36</v>
      </c>
      <c r="Y10" s="17" t="s">
        <v>37</v>
      </c>
    </row>
    <row r="11" ht="16" customHeight="1" spans="1:25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9">
        <f>IF($G$6="","",$G$6+0*$G$7)</f>
      </c>
      <c r="K11" s="19">
        <f>IF($G$6="","",$G$6+1*$G$7)</f>
      </c>
      <c r="L11" s="19">
        <f>IF($G$6="","",$G$6+2*$G$7)</f>
      </c>
      <c r="M11" s="19">
        <f>IF($G$6="","",$G$6+3*$G$7)</f>
      </c>
      <c r="N11" s="19">
        <f>IF($G$6="","",$G$6+4*$G$7)</f>
      </c>
      <c r="O11" s="19">
        <f>IF($G$6="","",$G$6+5*$G$7)</f>
      </c>
      <c r="P11" s="19">
        <f>IF($G$6="","",$G$6+6*$G$7)</f>
      </c>
      <c r="Q11" s="19">
        <f>IF($G$6="","",$G$6+7*$G$7)</f>
      </c>
      <c r="R11" s="19">
        <f>IF($G$6="","",$G$6+8*$G$7)</f>
      </c>
      <c r="S11" s="19">
        <f>IF($G$6="","",$G$6+9*$G$7)</f>
      </c>
      <c r="T11" s="19">
        <f>IF($G$6="","",$G$6+10*$G$7)</f>
      </c>
      <c r="U11" s="19">
        <f>IF($G$6="","",$G$6+11*$G$7)</f>
      </c>
      <c r="V11" s="19">
        <f>IF($G$6="","",$G$6+12*$G$7)</f>
      </c>
      <c r="W11" s="19">
        <f>IF($G$6="","",$G$6+13*$G$7)</f>
      </c>
      <c r="X11" s="19">
        <f>IF($G$6="","",$G$6+14*$G$7)</f>
      </c>
      <c r="Y11" s="19">
        <f>IF($G$6="","",$G$6+15*$G$7)</f>
      </c>
    </row>
    <row r="12" ht="16" customHeight="1" spans="1:25" x14ac:dyDescent="0.25">
      <c r="A12" s="34">
        <v>1</v>
      </c>
      <c r="B12" s="35" t="s">
        <v>48</v>
      </c>
      <c r="C12" s="36" t="s">
        <v>49</v>
      </c>
      <c r="D12" s="37">
        <v>46174</v>
      </c>
      <c r="E12" s="38">
        <v>3</v>
      </c>
      <c r="F12" s="39">
        <f>IF(OR(D12="",E12=""),"",IF(E12&lt;=1,D12,WORKDAY(D12,E12-1)))</f>
      </c>
      <c r="G12" s="40">
        <v>1</v>
      </c>
      <c r="H12" s="38"/>
      <c r="I12" s="36" t="s">
        <v>50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16" customHeight="1" spans="1:25" x14ac:dyDescent="0.25">
      <c r="A13" s="20">
        <v>2</v>
      </c>
      <c r="B13" s="21"/>
      <c r="C13" s="21" t="s">
        <v>51</v>
      </c>
      <c r="D13" s="22">
        <v>46174</v>
      </c>
      <c r="E13" s="23">
        <v>15</v>
      </c>
      <c r="F13" s="24">
        <f>IF(OR(D13="",E13=""),"",IF(E13&lt;=1,D13,WORKDAY(D13,E13-1)))</f>
      </c>
      <c r="G13" s="25">
        <v>1</v>
      </c>
      <c r="H13" s="23"/>
      <c r="I13" s="21" t="s">
        <v>52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ht="16" customHeight="1" spans="1:25" x14ac:dyDescent="0.25">
      <c r="A14" s="34">
        <v>3</v>
      </c>
      <c r="B14" s="35" t="s">
        <v>53</v>
      </c>
      <c r="C14" s="36" t="s">
        <v>54</v>
      </c>
      <c r="D14" s="37">
        <v>46177</v>
      </c>
      <c r="E14" s="38">
        <v>15</v>
      </c>
      <c r="F14" s="39">
        <f>IF(OR(D14="",E14=""),"",IF(E14&lt;=1,D14,WORKDAY(D14,E14-1)))</f>
      </c>
      <c r="G14" s="40">
        <v>1</v>
      </c>
      <c r="H14" s="38">
        <v>1</v>
      </c>
      <c r="I14" s="36" t="s">
        <v>55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16" customHeight="1" spans="1:25" x14ac:dyDescent="0.25">
      <c r="A15" s="20">
        <v>4</v>
      </c>
      <c r="B15" s="21"/>
      <c r="C15" s="21" t="s">
        <v>56</v>
      </c>
      <c r="D15" s="22">
        <v>46198</v>
      </c>
      <c r="E15" s="23">
        <v>3</v>
      </c>
      <c r="F15" s="24">
        <f>IF(OR(D15="",E15=""),"",IF(E15&lt;=1,D15,WORKDAY(D15,E15-1)))</f>
      </c>
      <c r="G15" s="25">
        <v>1</v>
      </c>
      <c r="H15" s="23">
        <v>3</v>
      </c>
      <c r="I15" s="21" t="s">
        <v>55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ht="16" customHeight="1" spans="1:25" x14ac:dyDescent="0.25">
      <c r="A16" s="34">
        <v>5</v>
      </c>
      <c r="B16" s="35" t="s">
        <v>57</v>
      </c>
      <c r="C16" s="36" t="s">
        <v>58</v>
      </c>
      <c r="D16" s="37">
        <v>46203</v>
      </c>
      <c r="E16" s="38">
        <v>15</v>
      </c>
      <c r="F16" s="39">
        <f>IF(OR(D16="",E16=""),"",IF(E16&lt;=1,D16,WORKDAY(D16,E16-1)))</f>
      </c>
      <c r="G16" s="40">
        <v>1</v>
      </c>
      <c r="H16" s="38">
        <v>4</v>
      </c>
      <c r="I16" s="36" t="s">
        <v>55</v>
      </c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16" customHeight="1" spans="1:25" x14ac:dyDescent="0.25">
      <c r="A17" s="20">
        <v>6</v>
      </c>
      <c r="B17" s="21"/>
      <c r="C17" s="21" t="s">
        <v>59</v>
      </c>
      <c r="D17" s="22">
        <v>46203</v>
      </c>
      <c r="E17" s="23">
        <v>20</v>
      </c>
      <c r="F17" s="24">
        <f>IF(OR(D17="",E17=""),"",IF(E17&lt;=1,D17,WORKDAY(D17,E17-1)))</f>
      </c>
      <c r="G17" s="25">
        <v>1</v>
      </c>
      <c r="H17" s="23">
        <v>4</v>
      </c>
      <c r="I17" s="21" t="s">
        <v>60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ht="16" customHeight="1" spans="1:25" x14ac:dyDescent="0.25">
      <c r="A18" s="20">
        <v>7</v>
      </c>
      <c r="B18" s="21"/>
      <c r="C18" s="21" t="s">
        <v>61</v>
      </c>
      <c r="D18" s="22">
        <v>46231</v>
      </c>
      <c r="E18" s="23">
        <v>20</v>
      </c>
      <c r="F18" s="24">
        <f>IF(OR(D18="",E18=""),"",IF(E18&lt;=1,D18,WORKDAY(D18,E18-1)))</f>
      </c>
      <c r="G18" s="25">
        <v>1</v>
      </c>
      <c r="H18" s="23">
        <v>6</v>
      </c>
      <c r="I18" s="21" t="s">
        <v>60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ht="16" customHeight="1" spans="1:25" x14ac:dyDescent="0.25">
      <c r="A19" s="34">
        <v>8</v>
      </c>
      <c r="B19" s="35" t="s">
        <v>62</v>
      </c>
      <c r="C19" s="36" t="s">
        <v>63</v>
      </c>
      <c r="D19" s="37">
        <v>46209</v>
      </c>
      <c r="E19" s="38">
        <v>5</v>
      </c>
      <c r="F19" s="39">
        <f>IF(OR(D19="",E19=""),"",IF(E19&lt;=1,D19,WORKDAY(D19,E19-1)))</f>
      </c>
      <c r="G19" s="40">
        <v>1</v>
      </c>
      <c r="H19" s="38">
        <v>2</v>
      </c>
      <c r="I19" s="36" t="s">
        <v>64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ht="16" customHeight="1" spans="1:25" x14ac:dyDescent="0.25">
      <c r="A20" s="20">
        <v>9</v>
      </c>
      <c r="B20" s="21"/>
      <c r="C20" s="21" t="s">
        <v>65</v>
      </c>
      <c r="D20" s="22">
        <v>46237</v>
      </c>
      <c r="E20" s="23">
        <v>2</v>
      </c>
      <c r="F20" s="24">
        <f>IF(OR(D20="",E20=""),"",IF(E20&lt;=1,D20,WORKDAY(D20,E20-1)))</f>
      </c>
      <c r="G20" s="25">
        <v>1</v>
      </c>
      <c r="H20" s="23">
        <v>8</v>
      </c>
      <c r="I20" s="21" t="s">
        <v>64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ht="16" customHeight="1" spans="1:25" x14ac:dyDescent="0.25">
      <c r="A21" s="20">
        <v>10</v>
      </c>
      <c r="B21" s="21"/>
      <c r="C21" s="21" t="s">
        <v>66</v>
      </c>
      <c r="D21" s="22">
        <v>46239</v>
      </c>
      <c r="E21" s="23">
        <v>5</v>
      </c>
      <c r="F21" s="24">
        <f>IF(OR(D21="",E21=""),"",IF(E21&lt;=1,D21,WORKDAY(D21,E21-1)))</f>
      </c>
      <c r="G21" s="25">
        <v>1</v>
      </c>
      <c r="H21" s="23">
        <v>9</v>
      </c>
      <c r="I21" s="21" t="s">
        <v>64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ht="16" customHeight="1" spans="1:25" x14ac:dyDescent="0.25">
      <c r="A22" s="34">
        <v>11</v>
      </c>
      <c r="B22" s="35" t="s">
        <v>67</v>
      </c>
      <c r="C22" s="36" t="s">
        <v>68</v>
      </c>
      <c r="D22" s="37">
        <v>46216</v>
      </c>
      <c r="E22" s="38">
        <v>20</v>
      </c>
      <c r="F22" s="39">
        <f>IF(OR(D22="",E22=""),"",IF(E22&lt;=1,D22,WORKDAY(D22,E22-1)))</f>
      </c>
      <c r="G22" s="40">
        <v>1</v>
      </c>
      <c r="H22" s="38">
        <v>2</v>
      </c>
      <c r="I22" s="36" t="s">
        <v>64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6" customHeight="1" spans="1:25" x14ac:dyDescent="0.25">
      <c r="A23" s="20">
        <v>12</v>
      </c>
      <c r="B23" s="21"/>
      <c r="C23" s="21" t="s">
        <v>69</v>
      </c>
      <c r="D23" s="22">
        <v>46244</v>
      </c>
      <c r="E23" s="23">
        <v>25</v>
      </c>
      <c r="F23" s="24">
        <f>IF(OR(D23="",E23=""),"",IF(E23&lt;=1,D23,WORKDAY(D23,E23-1)))</f>
      </c>
      <c r="G23" s="25">
        <v>0.65</v>
      </c>
      <c r="H23" s="23">
        <v>11</v>
      </c>
      <c r="I23" s="21" t="s">
        <v>64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ht="16" customHeight="1" spans="1:25" x14ac:dyDescent="0.25">
      <c r="A24" s="20">
        <v>13</v>
      </c>
      <c r="B24" s="21"/>
      <c r="C24" s="21" t="s">
        <v>70</v>
      </c>
      <c r="D24" s="22">
        <v>46286</v>
      </c>
      <c r="E24" s="23">
        <v>15</v>
      </c>
      <c r="F24" s="24">
        <f>IF(OR(D24="",E24=""),"",IF(E24&lt;=1,D24,WORKDAY(D24,E24-1)))</f>
      </c>
      <c r="G24" s="25">
        <v>0</v>
      </c>
      <c r="H24" s="23">
        <v>12</v>
      </c>
      <c r="I24" s="21" t="s">
        <v>64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ht="16" customHeight="1" spans="1:25" x14ac:dyDescent="0.25">
      <c r="A25" s="34">
        <v>14</v>
      </c>
      <c r="B25" s="35" t="s">
        <v>71</v>
      </c>
      <c r="C25" s="36" t="s">
        <v>72</v>
      </c>
      <c r="D25" s="37">
        <v>46244</v>
      </c>
      <c r="E25" s="38">
        <v>10</v>
      </c>
      <c r="F25" s="39">
        <f>IF(OR(D25="",E25=""),"",IF(E25&lt;=1,D25,WORKDAY(D25,E25-1)))</f>
      </c>
      <c r="G25" s="40">
        <v>1</v>
      </c>
      <c r="H25" s="38">
        <v>9</v>
      </c>
      <c r="I25" s="36" t="s">
        <v>60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16" customHeight="1" spans="1:25" x14ac:dyDescent="0.25">
      <c r="A26" s="20">
        <v>15</v>
      </c>
      <c r="B26" s="21"/>
      <c r="C26" s="21" t="s">
        <v>73</v>
      </c>
      <c r="D26" s="22">
        <v>46251</v>
      </c>
      <c r="E26" s="23">
        <v>20</v>
      </c>
      <c r="F26" s="24">
        <f>IF(OR(D26="",E26=""),"",IF(E26&lt;=1,D26,WORKDAY(D26,E26-1)))</f>
      </c>
      <c r="G26" s="25">
        <v>0.55</v>
      </c>
      <c r="H26" s="23">
        <v>10</v>
      </c>
      <c r="I26" s="21" t="s">
        <v>60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ht="16" customHeight="1" spans="1:25" x14ac:dyDescent="0.25">
      <c r="A27" s="34">
        <v>16</v>
      </c>
      <c r="B27" s="35" t="s">
        <v>74</v>
      </c>
      <c r="C27" s="36" t="s">
        <v>75</v>
      </c>
      <c r="D27" s="37">
        <v>46279</v>
      </c>
      <c r="E27" s="38">
        <v>15</v>
      </c>
      <c r="F27" s="39">
        <f>IF(OR(D27="",E27=""),"",IF(E27&lt;=1,D27,WORKDAY(D27,E27-1)))</f>
      </c>
      <c r="G27" s="40">
        <v>0</v>
      </c>
      <c r="H27" s="38">
        <v>12</v>
      </c>
      <c r="I27" s="36" t="s">
        <v>76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6" customHeight="1" spans="1:25" x14ac:dyDescent="0.25">
      <c r="A28" s="20">
        <v>17</v>
      </c>
      <c r="B28" s="21"/>
      <c r="C28" s="21" t="s">
        <v>77</v>
      </c>
      <c r="D28" s="22">
        <v>46307</v>
      </c>
      <c r="E28" s="23">
        <v>15</v>
      </c>
      <c r="F28" s="24">
        <f>IF(OR(D28="",E28=""),"",IF(E28&lt;=1,D28,WORKDAY(D28,E28-1)))</f>
      </c>
      <c r="G28" s="25">
        <v>0</v>
      </c>
      <c r="H28" s="23">
        <v>16</v>
      </c>
      <c r="I28" s="21" t="s">
        <v>76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ht="16" customHeight="1" spans="1:25" x14ac:dyDescent="0.25">
      <c r="A29" s="34">
        <v>18</v>
      </c>
      <c r="B29" s="35" t="s">
        <v>78</v>
      </c>
      <c r="C29" s="36" t="s">
        <v>79</v>
      </c>
      <c r="D29" s="37">
        <v>46279</v>
      </c>
      <c r="E29" s="38">
        <v>15</v>
      </c>
      <c r="F29" s="39">
        <f>IF(OR(D29="",E29=""),"",IF(E29&lt;=1,D29,WORKDAY(D29,E29-1)))</f>
      </c>
      <c r="G29" s="40">
        <v>0</v>
      </c>
      <c r="H29" s="38">
        <v>12</v>
      </c>
      <c r="I29" s="36" t="s">
        <v>80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16" customHeight="1" spans="1:25" x14ac:dyDescent="0.25">
      <c r="A30" s="20">
        <v>19</v>
      </c>
      <c r="B30" s="21"/>
      <c r="C30" s="21" t="s">
        <v>81</v>
      </c>
      <c r="D30" s="22">
        <v>46286</v>
      </c>
      <c r="E30" s="23">
        <v>15</v>
      </c>
      <c r="F30" s="24">
        <f>IF(OR(D30="",E30=""),"",IF(E30&lt;=1,D30,WORKDAY(D30,E30-1)))</f>
      </c>
      <c r="G30" s="25">
        <v>0</v>
      </c>
      <c r="H30" s="23">
        <v>15</v>
      </c>
      <c r="I30" s="21" t="s">
        <v>80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16" customHeight="1" spans="1:25" x14ac:dyDescent="0.25">
      <c r="A31" s="34">
        <v>20</v>
      </c>
      <c r="B31" s="35" t="s">
        <v>82</v>
      </c>
      <c r="C31" s="36" t="s">
        <v>83</v>
      </c>
      <c r="D31" s="37">
        <v>46300</v>
      </c>
      <c r="E31" s="38">
        <v>15</v>
      </c>
      <c r="F31" s="39">
        <f>IF(OR(D31="",E31=""),"",IF(E31&lt;=1,D31,WORKDAY(D31,E31-1)))</f>
      </c>
      <c r="G31" s="40">
        <v>0</v>
      </c>
      <c r="H31" s="38">
        <v>7</v>
      </c>
      <c r="I31" s="36" t="s">
        <v>55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6" customHeight="1" spans="1:25" x14ac:dyDescent="0.25">
      <c r="A32" s="34">
        <v>21</v>
      </c>
      <c r="B32" s="35" t="s">
        <v>84</v>
      </c>
      <c r="C32" s="36" t="s">
        <v>85</v>
      </c>
      <c r="D32" s="37">
        <v>46328</v>
      </c>
      <c r="E32" s="38">
        <v>10</v>
      </c>
      <c r="F32" s="39">
        <f>IF(OR(D32="",E32=""),"",IF(E32&lt;=1,D32,WORKDAY(D32,E32-1)))</f>
      </c>
      <c r="G32" s="40">
        <v>0</v>
      </c>
      <c r="H32" s="38">
        <v>17</v>
      </c>
      <c r="I32" s="36" t="s">
        <v>86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6" customHeight="1" spans="1:25" x14ac:dyDescent="0.25">
      <c r="A33" s="20">
        <v>22</v>
      </c>
      <c r="B33" s="21"/>
      <c r="C33" s="21" t="s">
        <v>87</v>
      </c>
      <c r="D33" s="22">
        <v>46342</v>
      </c>
      <c r="E33" s="23">
        <v>3</v>
      </c>
      <c r="F33" s="24">
        <f>IF(OR(D33="",E33=""),"",IF(E33&lt;=1,D33,WORKDAY(D33,E33-1)))</f>
      </c>
      <c r="G33" s="25">
        <v>0</v>
      </c>
      <c r="H33" s="23">
        <v>21</v>
      </c>
      <c r="I33" s="21" t="s">
        <v>52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ht="16" customHeight="1" spans="1:25" x14ac:dyDescent="0.25">
      <c r="A34" s="34">
        <v>23</v>
      </c>
      <c r="B34" s="35" t="s">
        <v>88</v>
      </c>
      <c r="C34" s="36" t="s">
        <v>89</v>
      </c>
      <c r="D34" s="37">
        <v>46335</v>
      </c>
      <c r="E34" s="38">
        <v>8</v>
      </c>
      <c r="F34" s="39">
        <f>IF(OR(D34="",E34=""),"",IF(E34&lt;=1,D34,WORKDAY(D34,E34-1)))</f>
      </c>
      <c r="G34" s="40">
        <v>0</v>
      </c>
      <c r="H34" s="38">
        <v>20</v>
      </c>
      <c r="I34" s="36" t="s">
        <v>50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16" customHeight="1" spans="1:25" x14ac:dyDescent="0.25">
      <c r="A35" s="20">
        <v>24</v>
      </c>
      <c r="B35" s="21"/>
      <c r="C35" s="21"/>
      <c r="D35" s="22"/>
      <c r="E35" s="23"/>
      <c r="F35" s="24">
        <f>IF(OR(D35="",E35=""),"",IF(E35&lt;=1,D35,WORKDAY(D35,E35-1)))</f>
      </c>
      <c r="G35" s="25"/>
      <c r="H35" s="23"/>
      <c r="I35" s="21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ht="16" customHeight="1" spans="1:25" x14ac:dyDescent="0.25">
      <c r="A36" s="20">
        <v>25</v>
      </c>
      <c r="B36" s="21"/>
      <c r="C36" s="21"/>
      <c r="D36" s="22"/>
      <c r="E36" s="23"/>
      <c r="F36" s="24">
        <f>IF(OR(D36="",E36=""),"",IF(E36&lt;=1,D36,WORKDAY(D36,E36-1)))</f>
      </c>
      <c r="G36" s="25"/>
      <c r="H36" s="23"/>
      <c r="I36" s="21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ht="16" customHeight="1" spans="1:25" x14ac:dyDescent="0.25">
      <c r="A37" s="20">
        <v>26</v>
      </c>
      <c r="B37" s="21"/>
      <c r="C37" s="21"/>
      <c r="D37" s="22"/>
      <c r="E37" s="23"/>
      <c r="F37" s="24">
        <f>IF(OR(D37="",E37=""),"",IF(E37&lt;=1,D37,WORKDAY(D37,E37-1)))</f>
      </c>
      <c r="G37" s="25"/>
      <c r="H37" s="23"/>
      <c r="I37" s="21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ht="16" customHeight="1" spans="1:25" x14ac:dyDescent="0.25">
      <c r="A38" s="20">
        <v>27</v>
      </c>
      <c r="B38" s="21"/>
      <c r="C38" s="21"/>
      <c r="D38" s="22"/>
      <c r="E38" s="23"/>
      <c r="F38" s="24">
        <f>IF(OR(D38="",E38=""),"",IF(E38&lt;=1,D38,WORKDAY(D38,E38-1)))</f>
      </c>
      <c r="G38" s="25"/>
      <c r="H38" s="23"/>
      <c r="I38" s="21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ht="16" customHeight="1" spans="1:25" x14ac:dyDescent="0.25">
      <c r="A39" s="20">
        <v>28</v>
      </c>
      <c r="B39" s="21"/>
      <c r="C39" s="21"/>
      <c r="D39" s="22"/>
      <c r="E39" s="23"/>
      <c r="F39" s="24">
        <f>IF(OR(D39="",E39=""),"",IF(E39&lt;=1,D39,WORKDAY(D39,E39-1)))</f>
      </c>
      <c r="G39" s="25"/>
      <c r="H39" s="23"/>
      <c r="I39" s="21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ht="16" customHeight="1" spans="1:25" x14ac:dyDescent="0.25">
      <c r="A40" s="20">
        <v>29</v>
      </c>
      <c r="B40" s="21"/>
      <c r="C40" s="21"/>
      <c r="D40" s="22"/>
      <c r="E40" s="23"/>
      <c r="F40" s="24">
        <f>IF(OR(D40="",E40=""),"",IF(E40&lt;=1,D40,WORKDAY(D40,E40-1)))</f>
      </c>
      <c r="G40" s="25"/>
      <c r="H40" s="23"/>
      <c r="I40" s="21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ht="16" customHeight="1" spans="1:25" x14ac:dyDescent="0.25">
      <c r="A41" s="20">
        <v>30</v>
      </c>
      <c r="B41" s="21"/>
      <c r="C41" s="21"/>
      <c r="D41" s="22"/>
      <c r="E41" s="23"/>
      <c r="F41" s="24">
        <f>IF(OR(D41="",E41=""),"",IF(E41&lt;=1,D41,WORKDAY(D41,E41-1)))</f>
      </c>
      <c r="G41" s="25"/>
      <c r="H41" s="23"/>
      <c r="I41" s="21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ht="16" customHeight="1" spans="1:25" x14ac:dyDescent="0.25">
      <c r="A42" s="20">
        <v>31</v>
      </c>
      <c r="B42" s="21"/>
      <c r="C42" s="21"/>
      <c r="D42" s="22"/>
      <c r="E42" s="23"/>
      <c r="F42" s="24">
        <f>IF(OR(D42="",E42=""),"",IF(E42&lt;=1,D42,WORKDAY(D42,E42-1)))</f>
      </c>
      <c r="G42" s="25"/>
      <c r="H42" s="23"/>
      <c r="I42" s="21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ht="16" customHeight="1" spans="1:25" x14ac:dyDescent="0.25">
      <c r="A43" s="20">
        <v>32</v>
      </c>
      <c r="B43" s="21"/>
      <c r="C43" s="21"/>
      <c r="D43" s="22"/>
      <c r="E43" s="23"/>
      <c r="F43" s="24">
        <f>IF(OR(D43="",E43=""),"",IF(E43&lt;=1,D43,WORKDAY(D43,E43-1)))</f>
      </c>
      <c r="G43" s="25"/>
      <c r="H43" s="23"/>
      <c r="I43" s="21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ht="16" customHeight="1" spans="1:25" x14ac:dyDescent="0.25">
      <c r="A44" s="20">
        <v>33</v>
      </c>
      <c r="B44" s="21"/>
      <c r="C44" s="21"/>
      <c r="D44" s="22"/>
      <c r="E44" s="23"/>
      <c r="F44" s="24">
        <f>IF(OR(D44="",E44=""),"",IF(E44&lt;=1,D44,WORKDAY(D44,E44-1)))</f>
      </c>
      <c r="G44" s="25"/>
      <c r="H44" s="23"/>
      <c r="I44" s="21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ht="16" customHeight="1" spans="1:25" x14ac:dyDescent="0.25">
      <c r="A45" s="20">
        <v>34</v>
      </c>
      <c r="B45" s="21"/>
      <c r="C45" s="21"/>
      <c r="D45" s="22"/>
      <c r="E45" s="23"/>
      <c r="F45" s="24">
        <f>IF(OR(D45="",E45=""),"",IF(E45&lt;=1,D45,WORKDAY(D45,E45-1)))</f>
      </c>
      <c r="G45" s="25"/>
      <c r="H45" s="23"/>
      <c r="I45" s="21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ht="16" customHeight="1" spans="1:25" x14ac:dyDescent="0.25">
      <c r="A46" s="20">
        <v>35</v>
      </c>
      <c r="B46" s="21"/>
      <c r="C46" s="21"/>
      <c r="D46" s="22"/>
      <c r="E46" s="23"/>
      <c r="F46" s="24">
        <f>IF(OR(D46="",E46=""),"",IF(E46&lt;=1,D46,WORKDAY(D46,E46-1)))</f>
      </c>
      <c r="G46" s="25"/>
      <c r="H46" s="23"/>
      <c r="I46" s="21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ht="16" customHeight="1" spans="1:25" x14ac:dyDescent="0.25">
      <c r="A47" s="20">
        <v>36</v>
      </c>
      <c r="B47" s="21"/>
      <c r="C47" s="21"/>
      <c r="D47" s="22"/>
      <c r="E47" s="23"/>
      <c r="F47" s="24">
        <f>IF(OR(D47="",E47=""),"",IF(E47&lt;=1,D47,WORKDAY(D47,E47-1)))</f>
      </c>
      <c r="G47" s="25"/>
      <c r="H47" s="23"/>
      <c r="I47" s="21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ht="16" customHeight="1" spans="1:25" x14ac:dyDescent="0.25">
      <c r="A48" s="20">
        <v>37</v>
      </c>
      <c r="B48" s="21"/>
      <c r="C48" s="21"/>
      <c r="D48" s="22"/>
      <c r="E48" s="23"/>
      <c r="F48" s="24">
        <f>IF(OR(D48="",E48=""),"",IF(E48&lt;=1,D48,WORKDAY(D48,E48-1)))</f>
      </c>
      <c r="G48" s="25"/>
      <c r="H48" s="23"/>
      <c r="I48" s="21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ht="16" customHeight="1" spans="1:25" x14ac:dyDescent="0.25">
      <c r="A49" s="20">
        <v>38</v>
      </c>
      <c r="B49" s="21"/>
      <c r="C49" s="21"/>
      <c r="D49" s="22"/>
      <c r="E49" s="23"/>
      <c r="F49" s="24">
        <f>IF(OR(D49="",E49=""),"",IF(E49&lt;=1,D49,WORKDAY(D49,E49-1)))</f>
      </c>
      <c r="G49" s="25"/>
      <c r="H49" s="23"/>
      <c r="I49" s="21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ht="16" customHeight="1" spans="1:25" x14ac:dyDescent="0.25">
      <c r="A50" s="20">
        <v>39</v>
      </c>
      <c r="B50" s="21"/>
      <c r="C50" s="21"/>
      <c r="D50" s="22"/>
      <c r="E50" s="23"/>
      <c r="F50" s="24">
        <f>IF(OR(D50="",E50=""),"",IF(E50&lt;=1,D50,WORKDAY(D50,E50-1)))</f>
      </c>
      <c r="G50" s="25"/>
      <c r="H50" s="23"/>
      <c r="I50" s="21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ht="16" customHeight="1" spans="1:25" x14ac:dyDescent="0.25">
      <c r="A51" s="20">
        <v>40</v>
      </c>
      <c r="B51" s="21"/>
      <c r="C51" s="21"/>
      <c r="D51" s="22"/>
      <c r="E51" s="23"/>
      <c r="F51" s="24">
        <f>IF(OR(D51="",E51=""),"",IF(E51&lt;=1,D51,WORKDAY(D51,E51-1)))</f>
      </c>
      <c r="G51" s="25"/>
      <c r="H51" s="23"/>
      <c r="I51" s="21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ht="22" customHeight="1" spans="1:25" x14ac:dyDescent="0.25">
      <c r="A52" s="27" t="s">
        <v>38</v>
      </c>
      <c r="B52" s="27" t="s">
        <v>39</v>
      </c>
      <c r="C52" s="27">
        <f>"Tasks: "&amp;COUNTA(C12:C51)&amp;"   ·   Complete: "&amp;COUNTIF(G12:G51,1)&amp;"   ·   In progress: "&amp;COUNTIFS(G12:G51,"&gt;0",G12:G51,"&lt;1")</f>
      </c>
      <c r="D52" s="28">
        <f>IF(COUNT(D12:D51)=0,"",MIN(D12:D51))</f>
      </c>
      <c r="E52" s="27" t="s">
        <v>38</v>
      </c>
      <c r="F52" s="28">
        <f>IF(COUNT(F12:F51)=0,"",MAX(F12:F51))</f>
      </c>
      <c r="G52" s="29">
        <f>IF(SUM(E12:E51)=0,"",SUMPRODUCT(E12:E51,G12:G51)/SUM(E12:E51))</f>
      </c>
      <c r="H52" s="27" t="s">
        <v>38</v>
      </c>
      <c r="I52" s="30" t="s">
        <v>40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4" ht="30" customHeight="1" spans="1:25" x14ac:dyDescent="0.25">
      <c r="A54" s="32" t="s">
        <v>41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6" ht="16" customHeight="1" spans="1:25" x14ac:dyDescent="0.25">
      <c r="A56" s="33" t="s">
        <v>42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</sheetData>
  <mergeCells count="15">
    <mergeCell ref="R1:Y1"/>
    <mergeCell ref="A6:B6"/>
    <mergeCell ref="D6:F6"/>
    <mergeCell ref="G6:I6"/>
    <mergeCell ref="L6:R6"/>
    <mergeCell ref="A7:B7"/>
    <mergeCell ref="D7:F7"/>
    <mergeCell ref="G7:I7"/>
    <mergeCell ref="L7:R7"/>
    <mergeCell ref="A8:B8"/>
    <mergeCell ref="D8:F8"/>
    <mergeCell ref="G8:I8"/>
    <mergeCell ref="L8:R8"/>
    <mergeCell ref="A54:Y54"/>
    <mergeCell ref="A56:Y56"/>
  </mergeCells>
  <conditionalFormatting sqref="J12:Y51">
    <cfRule type="expression" dxfId="5" priority="1">
      <formula>AND($D12&lt;&gt;"",$F12&lt;&gt;"",J$11&lt;&gt;"",$D12&lt;=J$11+$G$7-1,$F12&gt;=J$11,$G12&gt;0,J$11&lt;$D12+($F12-$D12+1)*$G12)</formula>
    </cfRule>
    <cfRule type="expression" dxfId="6" priority="2">
      <formula>AND($D12&lt;&gt;"",$F12&lt;&gt;"",J$11&lt;&gt;"",$D12&lt;=J$11+$G$7-1,$F12&gt;=J$11,OR($G12=0,$G12="",J$11&gt;=$D12+($F12-$D12+1)*$G12))</formula>
    </cfRule>
    <cfRule type="expression" dxfId="7" priority="3">
      <formula>AND($G$8&lt;&gt;"",J$11&lt;&gt;"",J$11&lt;=$G$8,J$11+$G$7-1&gt;=$G$8)</formula>
    </cfRule>
  </conditionalFormatting>
  <conditionalFormatting sqref="J11:Y11">
    <cfRule type="expression" dxfId="8" priority="4">
      <formula>AND($G$8&lt;&gt;"",J$11&lt;&gt;"",J$11&lt;=$G$8,J$11+$G$7-1&gt;=$G$8)</formula>
    </cfRule>
  </conditionalFormatting>
  <conditionalFormatting sqref="D12:D51">
    <cfRule type="expression" dxfId="9" priority="5">
      <formula>AND($H12&lt;&gt;"",$D12&lt;&gt;"",ISNUMBER(MATCH($H12,$A$12:$A$51,0)),ISNUMBER(INDEX($F$12:$F$51,MATCH($H12,$A$12:$A$51,0))),$D12&lt;=INDEX($F$12:$F$51,MATCH($H12,$A$12:$A$51,0)))</formula>
    </cfRule>
  </conditionalFormatting>
  <dataValidations count="2">
    <dataValidation type="whole" operator="greaterThanOrEqual" allowBlank="1" showErrorMessage="1" errorTitle="Duration" error="Duration is a whole number of workdays." sqref="E12:E51">
      <formula1>0</formula1>
    </dataValidation>
    <dataValidation type="decimal" allowBlank="1" showErrorMessage="1" errorTitle="Percent complete" error="Enter a value between 0% and 100%." sqref="G12:G51">
      <formula1>0</formula1>
      <formula2>1</formula2>
    </dataValidation>
  </dataValidations>
  <hyperlinks>
    <hyperlink ref="A56" r:id="rId1"/>
  </hyperlinks>
  <printOptions horizontalCentered="1"/>
  <pageMargins left="0.5" right="0.5" top="0.6" bottom="0.6" header="0.3" footer="0.3"/>
  <pageSetup paperSize="1" orientation="landscape" horizontalDpi="4294967295" verticalDpi="4294967295" scale="100" fitToWidth="1" fitToHeight="1"/>
  <headerFooter>
    <oddFooter>&amp;L&amp;8&amp;K8B93A1Free template by BuildWorkPro · buildworkpro.com/templates&amp;C&amp;8&amp;K8B93A1Example&amp;R&amp;8&amp;K8B93A1Page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90</v>
      </c>
    </row>
    <row r="2" ht="6" customHeight="1" spans="1:2" x14ac:dyDescent="0.25">
      <c r="A2" s="4"/>
      <c r="B2" s="4"/>
    </row>
    <row r="4" ht="30" customHeight="1" spans="1:2" x14ac:dyDescent="0.25">
      <c r="A4" s="42" t="s">
        <v>91</v>
      </c>
      <c r="B4" s="43" t="s">
        <v>92</v>
      </c>
    </row>
    <row r="5" ht="30" customHeight="1" spans="1:2" x14ac:dyDescent="0.25">
      <c r="A5" s="42" t="s">
        <v>93</v>
      </c>
      <c r="B5" s="43" t="s">
        <v>94</v>
      </c>
    </row>
    <row r="6" ht="30" customHeight="1" spans="1:2" x14ac:dyDescent="0.25">
      <c r="A6" s="42" t="s">
        <v>95</v>
      </c>
      <c r="B6" s="43" t="s">
        <v>96</v>
      </c>
    </row>
    <row r="7" ht="30" customHeight="1" spans="1:2" x14ac:dyDescent="0.25">
      <c r="A7" s="42" t="s">
        <v>97</v>
      </c>
      <c r="B7" s="43" t="s">
        <v>98</v>
      </c>
    </row>
    <row r="8" ht="45" customHeight="1" spans="1:2" x14ac:dyDescent="0.25">
      <c r="A8" s="42" t="s">
        <v>99</v>
      </c>
      <c r="B8" s="43" t="s">
        <v>100</v>
      </c>
    </row>
    <row r="9" ht="30" customHeight="1" spans="1:2" x14ac:dyDescent="0.25">
      <c r="A9" s="42" t="s">
        <v>101</v>
      </c>
      <c r="B9" s="43" t="s">
        <v>102</v>
      </c>
    </row>
    <row r="11" spans="2:2" x14ac:dyDescent="0.25">
      <c r="B11" s="44" t="s">
        <v>103</v>
      </c>
    </row>
    <row r="12" ht="30" customHeight="1" spans="1:2" x14ac:dyDescent="0.25">
      <c r="A12" s="45" t="s">
        <v>104</v>
      </c>
      <c r="B12" s="46" t="s">
        <v>105</v>
      </c>
    </row>
    <row r="13" ht="30" customHeight="1" spans="1:2" x14ac:dyDescent="0.25">
      <c r="A13" s="45" t="s">
        <v>104</v>
      </c>
      <c r="B13" s="46" t="s">
        <v>106</v>
      </c>
    </row>
    <row r="14" ht="30" customHeight="1" spans="1:2" x14ac:dyDescent="0.25">
      <c r="A14" s="45" t="s">
        <v>104</v>
      </c>
      <c r="B14" s="46" t="s">
        <v>107</v>
      </c>
    </row>
    <row r="15" ht="30" customHeight="1" spans="1:2" x14ac:dyDescent="0.25">
      <c r="A15" s="45" t="s">
        <v>104</v>
      </c>
      <c r="B15" s="46" t="s">
        <v>108</v>
      </c>
    </row>
    <row r="17" ht="44" customHeight="1" spans="1:2" x14ac:dyDescent="0.25">
      <c r="A17" s="32" t="s">
        <v>109</v>
      </c>
      <c r="B17" s="32"/>
    </row>
    <row r="18" spans="2:2" x14ac:dyDescent="0.25">
      <c r="B18" s="47" t="s">
        <v>110</v>
      </c>
    </row>
    <row r="20" ht="78" customHeight="1" spans="1:2" x14ac:dyDescent="0.25">
      <c r="A20" s="33" t="s">
        <v>111</v>
      </c>
      <c r="B20" s="33"/>
    </row>
  </sheetData>
  <mergeCells count="2">
    <mergeCell ref="A17:B17"/>
    <mergeCell ref="A20:B20"/>
  </mergeCells>
  <hyperlinks>
    <hyperlink ref="B18" r:id="rId1"/>
    <hyperlink ref="A20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Example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Construction Schedule Template</dc:title>
  <dc:subject>Construction Schedule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